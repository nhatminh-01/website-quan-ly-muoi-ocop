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Bao cao Cuc" sheetId="1" state="visible" r:id="rId1"/>
    <sheet xmlns:r="http://schemas.openxmlformats.org/officeDocument/2006/relationships" name="_MAPPING" sheetId="2" state="hidden" r:id="rId2"/>
  </sheets>
  <definedNames/>
  <calcPr calcId="162913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0">
    <font>
      <name val="Calibri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sz val="11"/>
    </font>
    <font>
      <name val="Times New Roman"/>
      <family val="1"/>
      <color theme="1"/>
      <sz val="11"/>
    </font>
    <font>
      <name val="Calibri"/>
      <family val="2"/>
      <color theme="1"/>
      <sz val="11"/>
      <scheme val="minor"/>
    </font>
    <font>
      <name val="Times New Roman"/>
      <family val="1"/>
      <color theme="1"/>
      <sz val="10"/>
    </font>
    <font>
      <name val="Times New Roman"/>
      <family val="1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7" fillId="0" borderId="0"/>
    <xf numFmtId="43" fontId="7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4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2" borderId="8" pivotButton="0" quotePrefix="0" xfId="0"/>
    <xf numFmtId="0" fontId="4" fillId="2" borderId="8" applyAlignment="1" pivotButton="0" quotePrefix="0" xfId="0">
      <alignment horizontal="justify" vertical="center" wrapText="1"/>
    </xf>
    <xf numFmtId="0" fontId="4" fillId="2" borderId="0" pivotButton="0" quotePrefix="0" xfId="0"/>
    <xf numFmtId="0" fontId="3" fillId="0" borderId="9" applyAlignment="1" pivotButton="0" quotePrefix="0" xfId="0">
      <alignment horizontal="center"/>
    </xf>
    <xf numFmtId="0" fontId="3" fillId="0" borderId="9" pivotButton="0" quotePrefix="0" xfId="0"/>
    <xf numFmtId="0" fontId="3" fillId="0" borderId="0" applyAlignment="1" pivotButton="0" quotePrefix="0" xfId="0">
      <alignment horizontal="right"/>
    </xf>
    <xf numFmtId="0" fontId="8" fillId="3" borderId="10" applyAlignment="1" pivotButton="0" quotePrefix="0" xfId="0">
      <alignment horizontal="left" vertical="center"/>
    </xf>
    <xf numFmtId="0" fontId="8" fillId="0" borderId="10" applyAlignment="1" pivotButton="0" quotePrefix="0" xfId="0">
      <alignment horizontal="left" vertical="center" wrapText="1"/>
    </xf>
    <xf numFmtId="0" fontId="4" fillId="4" borderId="8" pivotButton="0" quotePrefix="0" xfId="0"/>
    <xf numFmtId="0" fontId="8" fillId="4" borderId="10" applyAlignment="1" pivotButton="0" quotePrefix="0" xfId="0">
      <alignment horizontal="left" vertical="center" wrapText="1"/>
    </xf>
    <xf numFmtId="0" fontId="3" fillId="4" borderId="9" applyAlignment="1" pivotButton="0" quotePrefix="0" xfId="0">
      <alignment horizontal="center"/>
    </xf>
    <xf numFmtId="0" fontId="3" fillId="4" borderId="9" pivotButton="0" quotePrefix="0" xfId="0"/>
    <xf numFmtId="0" fontId="3" fillId="4" borderId="8" pivotButton="0" quotePrefix="0" xfId="0"/>
    <xf numFmtId="164" fontId="3" fillId="4" borderId="8" pivotButton="0" quotePrefix="0" xfId="1"/>
    <xf numFmtId="164" fontId="4" fillId="4" borderId="8" pivotButton="0" quotePrefix="0" xfId="1"/>
    <xf numFmtId="164" fontId="4" fillId="2" borderId="8" pivotButton="0" quotePrefix="0" xfId="1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3" fillId="0" borderId="0" pivotButton="0" quotePrefix="0" xfId="0"/>
    <xf numFmtId="4" fontId="9" fillId="0" borderId="0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top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L3" authorId="0" shapeId="0">
      <text>
        <t>Mã dữ liệu chuẩn: STOCK_CARRY_FORWARD</t>
      </text>
    </comment>
    <comment ref="P3" authorId="0" shapeId="0">
      <text>
        <t>Mã dữ liệu chuẩn: HOUSEHOLDS</t>
      </text>
    </comment>
    <comment ref="Q3" authorId="0" shapeId="0">
      <text>
        <t>Mã dữ liệu chuẩn: LABORERS</t>
      </text>
    </comment>
    <comment ref="C4" authorId="0" shapeId="0">
      <text>
        <t>Mã dữ liệu chuẩn: AREA_TOTAL</t>
      </text>
    </comment>
    <comment ref="D4" authorId="0" shapeId="0">
      <text>
        <t>Mã dữ liệu chuẩn: AREA_MANUAL</t>
      </text>
    </comment>
    <comment ref="E4" authorId="0" shapeId="0">
      <text>
        <t>Mã dữ liệu chuẩn: AREA_INDUSTRIAL</t>
      </text>
    </comment>
    <comment ref="F4" authorId="0" shapeId="0">
      <text>
        <t>Mã dữ liệu chuẩn: HARVEST_TOTAL</t>
      </text>
    </comment>
    <comment ref="G4" authorId="0" shapeId="0">
      <text>
        <t>Mã dữ liệu chuẩn: HARVEST_MANUAL</t>
      </text>
    </comment>
    <comment ref="H4" authorId="0" shapeId="0">
      <text>
        <t>Mã dữ liệu chuẩn: HARVEST_INDUSTRIAL</t>
      </text>
    </comment>
    <comment ref="I4" authorId="0" shapeId="0">
      <text>
        <t>Mã dữ liệu chuẩn: CONSUME_TOTAL</t>
      </text>
    </comment>
    <comment ref="J4" authorId="0" shapeId="0">
      <text>
        <t>Mã dữ liệu chuẩn: CONSUME_MANUAL</t>
      </text>
    </comment>
    <comment ref="K4" authorId="0" shapeId="0">
      <text>
        <t>Mã dữ liệu chuẩn: CONSUME_INDUSTRIAL</t>
      </text>
    </comment>
    <comment ref="M4" authorId="0" shapeId="0">
      <text>
        <t>Mã dữ liệu chuẩn: PROCESS_TOTAL</t>
      </text>
    </comment>
    <comment ref="N4" authorId="0" shapeId="0">
      <text>
        <t>Mã dữ liệu chuẩn: PROCESS_REFINED</t>
      </text>
    </comment>
    <comment ref="O4" authorId="0" shapeId="0">
      <text>
        <t>Mã dữ liệu chuẩn: PROCESS_IODIZED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tabSelected="1" zoomScale="85" zoomScaleNormal="85" workbookViewId="0">
      <selection activeCell="L17" sqref="L17"/>
    </sheetView>
  </sheetViews>
  <sheetFormatPr baseColWidth="8" defaultColWidth="9.1796875" defaultRowHeight="15.5"/>
  <cols>
    <col width="6" customWidth="1" style="34" min="1" max="1"/>
    <col width="17.7265625" customWidth="1" style="34" min="2" max="2"/>
    <col width="8.453125" customWidth="1" style="34" min="3" max="5"/>
    <col width="11.7265625" customWidth="1" style="34" min="6" max="6"/>
    <col width="11.08984375" customWidth="1" style="15" min="7" max="7"/>
    <col width="7.453125" customWidth="1" style="34" min="8" max="8"/>
    <col width="9.453125" customWidth="1" style="34" min="9" max="9"/>
    <col width="10.6328125" customWidth="1" style="34" min="10" max="10"/>
    <col width="11.1796875" customWidth="1" style="34" min="11" max="11"/>
    <col width="9.7265625" customWidth="1" style="34" min="12" max="12"/>
    <col width="6.54296875" customWidth="1" style="34" min="13" max="13"/>
    <col width="7.453125" customWidth="1" style="34" min="14" max="14"/>
    <col width="7" customWidth="1" style="34" min="15" max="15"/>
    <col width="8.7265625" customWidth="1" style="34" min="16" max="16"/>
    <col width="8.453125" customWidth="1" style="34" min="17" max="17"/>
    <col width="9.1796875" customWidth="1" style="34" min="18" max="256"/>
    <col width="6" customWidth="1" style="34" min="257" max="257"/>
    <col width="17.7265625" customWidth="1" style="34" min="258" max="258"/>
    <col width="8.453125" customWidth="1" style="34" min="259" max="261"/>
    <col width="7.1796875" customWidth="1" style="34" min="262" max="263"/>
    <col width="7.453125" customWidth="1" style="34" min="264" max="264"/>
    <col width="5.81640625" customWidth="1" style="34" min="265" max="265"/>
    <col width="6.54296875" customWidth="1" style="34" min="266" max="266"/>
    <col width="7.81640625" customWidth="1" style="34" min="267" max="267"/>
    <col width="9.7265625" customWidth="1" style="34" min="268" max="268"/>
    <col width="6.54296875" customWidth="1" style="34" min="269" max="269"/>
    <col width="7.453125" customWidth="1" style="34" min="270" max="270"/>
    <col width="7" customWidth="1" style="34" min="271" max="271"/>
    <col width="7.54296875" customWidth="1" style="34" min="272" max="272"/>
    <col width="8.453125" customWidth="1" style="34" min="273" max="273"/>
    <col width="9.1796875" customWidth="1" style="34" min="274" max="512"/>
    <col width="6" customWidth="1" style="34" min="513" max="513"/>
    <col width="17.7265625" customWidth="1" style="34" min="514" max="514"/>
    <col width="8.453125" customWidth="1" style="34" min="515" max="517"/>
    <col width="7.1796875" customWidth="1" style="34" min="518" max="519"/>
    <col width="7.453125" customWidth="1" style="34" min="520" max="520"/>
    <col width="5.81640625" customWidth="1" style="34" min="521" max="521"/>
    <col width="6.54296875" customWidth="1" style="34" min="522" max="522"/>
    <col width="7.81640625" customWidth="1" style="34" min="523" max="523"/>
    <col width="9.7265625" customWidth="1" style="34" min="524" max="524"/>
    <col width="6.54296875" customWidth="1" style="34" min="525" max="525"/>
    <col width="7.453125" customWidth="1" style="34" min="526" max="526"/>
    <col width="7" customWidth="1" style="34" min="527" max="527"/>
    <col width="7.54296875" customWidth="1" style="34" min="528" max="528"/>
    <col width="8.453125" customWidth="1" style="34" min="529" max="529"/>
    <col width="9.1796875" customWidth="1" style="34" min="530" max="768"/>
    <col width="6" customWidth="1" style="34" min="769" max="769"/>
    <col width="17.7265625" customWidth="1" style="34" min="770" max="770"/>
    <col width="8.453125" customWidth="1" style="34" min="771" max="773"/>
    <col width="7.1796875" customWidth="1" style="34" min="774" max="775"/>
    <col width="7.453125" customWidth="1" style="34" min="776" max="776"/>
    <col width="5.81640625" customWidth="1" style="34" min="777" max="777"/>
    <col width="6.54296875" customWidth="1" style="34" min="778" max="778"/>
    <col width="7.81640625" customWidth="1" style="34" min="779" max="779"/>
    <col width="9.7265625" customWidth="1" style="34" min="780" max="780"/>
    <col width="6.54296875" customWidth="1" style="34" min="781" max="781"/>
    <col width="7.453125" customWidth="1" style="34" min="782" max="782"/>
    <col width="7" customWidth="1" style="34" min="783" max="783"/>
    <col width="7.54296875" customWidth="1" style="34" min="784" max="784"/>
    <col width="8.453125" customWidth="1" style="34" min="785" max="785"/>
    <col width="9.1796875" customWidth="1" style="34" min="786" max="1024"/>
    <col width="6" customWidth="1" style="34" min="1025" max="1025"/>
    <col width="17.7265625" customWidth="1" style="34" min="1026" max="1026"/>
    <col width="8.453125" customWidth="1" style="34" min="1027" max="1029"/>
    <col width="7.1796875" customWidth="1" style="34" min="1030" max="1031"/>
    <col width="7.453125" customWidth="1" style="34" min="1032" max="1032"/>
    <col width="5.81640625" customWidth="1" style="34" min="1033" max="1033"/>
    <col width="6.54296875" customWidth="1" style="34" min="1034" max="1034"/>
    <col width="7.81640625" customWidth="1" style="34" min="1035" max="1035"/>
    <col width="9.7265625" customWidth="1" style="34" min="1036" max="1036"/>
    <col width="6.54296875" customWidth="1" style="34" min="1037" max="1037"/>
    <col width="7.453125" customWidth="1" style="34" min="1038" max="1038"/>
    <col width="7" customWidth="1" style="34" min="1039" max="1039"/>
    <col width="7.54296875" customWidth="1" style="34" min="1040" max="1040"/>
    <col width="8.453125" customWidth="1" style="34" min="1041" max="1041"/>
    <col width="9.1796875" customWidth="1" style="34" min="1042" max="1280"/>
    <col width="6" customWidth="1" style="34" min="1281" max="1281"/>
    <col width="17.7265625" customWidth="1" style="34" min="1282" max="1282"/>
    <col width="8.453125" customWidth="1" style="34" min="1283" max="1285"/>
    <col width="7.1796875" customWidth="1" style="34" min="1286" max="1287"/>
    <col width="7.453125" customWidth="1" style="34" min="1288" max="1288"/>
    <col width="5.81640625" customWidth="1" style="34" min="1289" max="1289"/>
    <col width="6.54296875" customWidth="1" style="34" min="1290" max="1290"/>
    <col width="7.81640625" customWidth="1" style="34" min="1291" max="1291"/>
    <col width="9.7265625" customWidth="1" style="34" min="1292" max="1292"/>
    <col width="6.54296875" customWidth="1" style="34" min="1293" max="1293"/>
    <col width="7.453125" customWidth="1" style="34" min="1294" max="1294"/>
    <col width="7" customWidth="1" style="34" min="1295" max="1295"/>
    <col width="7.54296875" customWidth="1" style="34" min="1296" max="1296"/>
    <col width="8.453125" customWidth="1" style="34" min="1297" max="1297"/>
    <col width="9.1796875" customWidth="1" style="34" min="1298" max="1536"/>
    <col width="6" customWidth="1" style="34" min="1537" max="1537"/>
    <col width="17.7265625" customWidth="1" style="34" min="1538" max="1538"/>
    <col width="8.453125" customWidth="1" style="34" min="1539" max="1541"/>
    <col width="7.1796875" customWidth="1" style="34" min="1542" max="1543"/>
    <col width="7.453125" customWidth="1" style="34" min="1544" max="1544"/>
    <col width="5.81640625" customWidth="1" style="34" min="1545" max="1545"/>
    <col width="6.54296875" customWidth="1" style="34" min="1546" max="1546"/>
    <col width="7.81640625" customWidth="1" style="34" min="1547" max="1547"/>
    <col width="9.7265625" customWidth="1" style="34" min="1548" max="1548"/>
    <col width="6.54296875" customWidth="1" style="34" min="1549" max="1549"/>
    <col width="7.453125" customWidth="1" style="34" min="1550" max="1550"/>
    <col width="7" customWidth="1" style="34" min="1551" max="1551"/>
    <col width="7.54296875" customWidth="1" style="34" min="1552" max="1552"/>
    <col width="8.453125" customWidth="1" style="34" min="1553" max="1553"/>
    <col width="9.1796875" customWidth="1" style="34" min="1554" max="1792"/>
    <col width="6" customWidth="1" style="34" min="1793" max="1793"/>
    <col width="17.7265625" customWidth="1" style="34" min="1794" max="1794"/>
    <col width="8.453125" customWidth="1" style="34" min="1795" max="1797"/>
    <col width="7.1796875" customWidth="1" style="34" min="1798" max="1799"/>
    <col width="7.453125" customWidth="1" style="34" min="1800" max="1800"/>
    <col width="5.81640625" customWidth="1" style="34" min="1801" max="1801"/>
    <col width="6.54296875" customWidth="1" style="34" min="1802" max="1802"/>
    <col width="7.81640625" customWidth="1" style="34" min="1803" max="1803"/>
    <col width="9.7265625" customWidth="1" style="34" min="1804" max="1804"/>
    <col width="6.54296875" customWidth="1" style="34" min="1805" max="1805"/>
    <col width="7.453125" customWidth="1" style="34" min="1806" max="1806"/>
    <col width="7" customWidth="1" style="34" min="1807" max="1807"/>
    <col width="7.54296875" customWidth="1" style="34" min="1808" max="1808"/>
    <col width="8.453125" customWidth="1" style="34" min="1809" max="1809"/>
    <col width="9.1796875" customWidth="1" style="34" min="1810" max="2048"/>
    <col width="6" customWidth="1" style="34" min="2049" max="2049"/>
    <col width="17.7265625" customWidth="1" style="34" min="2050" max="2050"/>
    <col width="8.453125" customWidth="1" style="34" min="2051" max="2053"/>
    <col width="7.1796875" customWidth="1" style="34" min="2054" max="2055"/>
    <col width="7.453125" customWidth="1" style="34" min="2056" max="2056"/>
    <col width="5.81640625" customWidth="1" style="34" min="2057" max="2057"/>
    <col width="6.54296875" customWidth="1" style="34" min="2058" max="2058"/>
    <col width="7.81640625" customWidth="1" style="34" min="2059" max="2059"/>
    <col width="9.7265625" customWidth="1" style="34" min="2060" max="2060"/>
    <col width="6.54296875" customWidth="1" style="34" min="2061" max="2061"/>
    <col width="7.453125" customWidth="1" style="34" min="2062" max="2062"/>
    <col width="7" customWidth="1" style="34" min="2063" max="2063"/>
    <col width="7.54296875" customWidth="1" style="34" min="2064" max="2064"/>
    <col width="8.453125" customWidth="1" style="34" min="2065" max="2065"/>
    <col width="9.1796875" customWidth="1" style="34" min="2066" max="2304"/>
    <col width="6" customWidth="1" style="34" min="2305" max="2305"/>
    <col width="17.7265625" customWidth="1" style="34" min="2306" max="2306"/>
    <col width="8.453125" customWidth="1" style="34" min="2307" max="2309"/>
    <col width="7.1796875" customWidth="1" style="34" min="2310" max="2311"/>
    <col width="7.453125" customWidth="1" style="34" min="2312" max="2312"/>
    <col width="5.81640625" customWidth="1" style="34" min="2313" max="2313"/>
    <col width="6.54296875" customWidth="1" style="34" min="2314" max="2314"/>
    <col width="7.81640625" customWidth="1" style="34" min="2315" max="2315"/>
    <col width="9.7265625" customWidth="1" style="34" min="2316" max="2316"/>
    <col width="6.54296875" customWidth="1" style="34" min="2317" max="2317"/>
    <col width="7.453125" customWidth="1" style="34" min="2318" max="2318"/>
    <col width="7" customWidth="1" style="34" min="2319" max="2319"/>
    <col width="7.54296875" customWidth="1" style="34" min="2320" max="2320"/>
    <col width="8.453125" customWidth="1" style="34" min="2321" max="2321"/>
    <col width="9.1796875" customWidth="1" style="34" min="2322" max="2560"/>
    <col width="6" customWidth="1" style="34" min="2561" max="2561"/>
    <col width="17.7265625" customWidth="1" style="34" min="2562" max="2562"/>
    <col width="8.453125" customWidth="1" style="34" min="2563" max="2565"/>
    <col width="7.1796875" customWidth="1" style="34" min="2566" max="2567"/>
    <col width="7.453125" customWidth="1" style="34" min="2568" max="2568"/>
    <col width="5.81640625" customWidth="1" style="34" min="2569" max="2569"/>
    <col width="6.54296875" customWidth="1" style="34" min="2570" max="2570"/>
    <col width="7.81640625" customWidth="1" style="34" min="2571" max="2571"/>
    <col width="9.7265625" customWidth="1" style="34" min="2572" max="2572"/>
    <col width="6.54296875" customWidth="1" style="34" min="2573" max="2573"/>
    <col width="7.453125" customWidth="1" style="34" min="2574" max="2574"/>
    <col width="7" customWidth="1" style="34" min="2575" max="2575"/>
    <col width="7.54296875" customWidth="1" style="34" min="2576" max="2576"/>
    <col width="8.453125" customWidth="1" style="34" min="2577" max="2577"/>
    <col width="9.1796875" customWidth="1" style="34" min="2578" max="2816"/>
    <col width="6" customWidth="1" style="34" min="2817" max="2817"/>
    <col width="17.7265625" customWidth="1" style="34" min="2818" max="2818"/>
    <col width="8.453125" customWidth="1" style="34" min="2819" max="2821"/>
    <col width="7.1796875" customWidth="1" style="34" min="2822" max="2823"/>
    <col width="7.453125" customWidth="1" style="34" min="2824" max="2824"/>
    <col width="5.81640625" customWidth="1" style="34" min="2825" max="2825"/>
    <col width="6.54296875" customWidth="1" style="34" min="2826" max="2826"/>
    <col width="7.81640625" customWidth="1" style="34" min="2827" max="2827"/>
    <col width="9.7265625" customWidth="1" style="34" min="2828" max="2828"/>
    <col width="6.54296875" customWidth="1" style="34" min="2829" max="2829"/>
    <col width="7.453125" customWidth="1" style="34" min="2830" max="2830"/>
    <col width="7" customWidth="1" style="34" min="2831" max="2831"/>
    <col width="7.54296875" customWidth="1" style="34" min="2832" max="2832"/>
    <col width="8.453125" customWidth="1" style="34" min="2833" max="2833"/>
    <col width="9.1796875" customWidth="1" style="34" min="2834" max="3072"/>
    <col width="6" customWidth="1" style="34" min="3073" max="3073"/>
    <col width="17.7265625" customWidth="1" style="34" min="3074" max="3074"/>
    <col width="8.453125" customWidth="1" style="34" min="3075" max="3077"/>
    <col width="7.1796875" customWidth="1" style="34" min="3078" max="3079"/>
    <col width="7.453125" customWidth="1" style="34" min="3080" max="3080"/>
    <col width="5.81640625" customWidth="1" style="34" min="3081" max="3081"/>
    <col width="6.54296875" customWidth="1" style="34" min="3082" max="3082"/>
    <col width="7.81640625" customWidth="1" style="34" min="3083" max="3083"/>
    <col width="9.7265625" customWidth="1" style="34" min="3084" max="3084"/>
    <col width="6.54296875" customWidth="1" style="34" min="3085" max="3085"/>
    <col width="7.453125" customWidth="1" style="34" min="3086" max="3086"/>
    <col width="7" customWidth="1" style="34" min="3087" max="3087"/>
    <col width="7.54296875" customWidth="1" style="34" min="3088" max="3088"/>
    <col width="8.453125" customWidth="1" style="34" min="3089" max="3089"/>
    <col width="9.1796875" customWidth="1" style="34" min="3090" max="3328"/>
    <col width="6" customWidth="1" style="34" min="3329" max="3329"/>
    <col width="17.7265625" customWidth="1" style="34" min="3330" max="3330"/>
    <col width="8.453125" customWidth="1" style="34" min="3331" max="3333"/>
    <col width="7.1796875" customWidth="1" style="34" min="3334" max="3335"/>
    <col width="7.453125" customWidth="1" style="34" min="3336" max="3336"/>
    <col width="5.81640625" customWidth="1" style="34" min="3337" max="3337"/>
    <col width="6.54296875" customWidth="1" style="34" min="3338" max="3338"/>
    <col width="7.81640625" customWidth="1" style="34" min="3339" max="3339"/>
    <col width="9.7265625" customWidth="1" style="34" min="3340" max="3340"/>
    <col width="6.54296875" customWidth="1" style="34" min="3341" max="3341"/>
    <col width="7.453125" customWidth="1" style="34" min="3342" max="3342"/>
    <col width="7" customWidth="1" style="34" min="3343" max="3343"/>
    <col width="7.54296875" customWidth="1" style="34" min="3344" max="3344"/>
    <col width="8.453125" customWidth="1" style="34" min="3345" max="3345"/>
    <col width="9.1796875" customWidth="1" style="34" min="3346" max="3584"/>
    <col width="6" customWidth="1" style="34" min="3585" max="3585"/>
    <col width="17.7265625" customWidth="1" style="34" min="3586" max="3586"/>
    <col width="8.453125" customWidth="1" style="34" min="3587" max="3589"/>
    <col width="7.1796875" customWidth="1" style="34" min="3590" max="3591"/>
    <col width="7.453125" customWidth="1" style="34" min="3592" max="3592"/>
    <col width="5.81640625" customWidth="1" style="34" min="3593" max="3593"/>
    <col width="6.54296875" customWidth="1" style="34" min="3594" max="3594"/>
    <col width="7.81640625" customWidth="1" style="34" min="3595" max="3595"/>
    <col width="9.7265625" customWidth="1" style="34" min="3596" max="3596"/>
    <col width="6.54296875" customWidth="1" style="34" min="3597" max="3597"/>
    <col width="7.453125" customWidth="1" style="34" min="3598" max="3598"/>
    <col width="7" customWidth="1" style="34" min="3599" max="3599"/>
    <col width="7.54296875" customWidth="1" style="34" min="3600" max="3600"/>
    <col width="8.453125" customWidth="1" style="34" min="3601" max="3601"/>
    <col width="9.1796875" customWidth="1" style="34" min="3602" max="3840"/>
    <col width="6" customWidth="1" style="34" min="3841" max="3841"/>
    <col width="17.7265625" customWidth="1" style="34" min="3842" max="3842"/>
    <col width="8.453125" customWidth="1" style="34" min="3843" max="3845"/>
    <col width="7.1796875" customWidth="1" style="34" min="3846" max="3847"/>
    <col width="7.453125" customWidth="1" style="34" min="3848" max="3848"/>
    <col width="5.81640625" customWidth="1" style="34" min="3849" max="3849"/>
    <col width="6.54296875" customWidth="1" style="34" min="3850" max="3850"/>
    <col width="7.81640625" customWidth="1" style="34" min="3851" max="3851"/>
    <col width="9.7265625" customWidth="1" style="34" min="3852" max="3852"/>
    <col width="6.54296875" customWidth="1" style="34" min="3853" max="3853"/>
    <col width="7.453125" customWidth="1" style="34" min="3854" max="3854"/>
    <col width="7" customWidth="1" style="34" min="3855" max="3855"/>
    <col width="7.54296875" customWidth="1" style="34" min="3856" max="3856"/>
    <col width="8.453125" customWidth="1" style="34" min="3857" max="3857"/>
    <col width="9.1796875" customWidth="1" style="34" min="3858" max="4096"/>
    <col width="6" customWidth="1" style="34" min="4097" max="4097"/>
    <col width="17.7265625" customWidth="1" style="34" min="4098" max="4098"/>
    <col width="8.453125" customWidth="1" style="34" min="4099" max="4101"/>
    <col width="7.1796875" customWidth="1" style="34" min="4102" max="4103"/>
    <col width="7.453125" customWidth="1" style="34" min="4104" max="4104"/>
    <col width="5.81640625" customWidth="1" style="34" min="4105" max="4105"/>
    <col width="6.54296875" customWidth="1" style="34" min="4106" max="4106"/>
    <col width="7.81640625" customWidth="1" style="34" min="4107" max="4107"/>
    <col width="9.7265625" customWidth="1" style="34" min="4108" max="4108"/>
    <col width="6.54296875" customWidth="1" style="34" min="4109" max="4109"/>
    <col width="7.453125" customWidth="1" style="34" min="4110" max="4110"/>
    <col width="7" customWidth="1" style="34" min="4111" max="4111"/>
    <col width="7.54296875" customWidth="1" style="34" min="4112" max="4112"/>
    <col width="8.453125" customWidth="1" style="34" min="4113" max="4113"/>
    <col width="9.1796875" customWidth="1" style="34" min="4114" max="4352"/>
    <col width="6" customWidth="1" style="34" min="4353" max="4353"/>
    <col width="17.7265625" customWidth="1" style="34" min="4354" max="4354"/>
    <col width="8.453125" customWidth="1" style="34" min="4355" max="4357"/>
    <col width="7.1796875" customWidth="1" style="34" min="4358" max="4359"/>
    <col width="7.453125" customWidth="1" style="34" min="4360" max="4360"/>
    <col width="5.81640625" customWidth="1" style="34" min="4361" max="4361"/>
    <col width="6.54296875" customWidth="1" style="34" min="4362" max="4362"/>
    <col width="7.81640625" customWidth="1" style="34" min="4363" max="4363"/>
    <col width="9.7265625" customWidth="1" style="34" min="4364" max="4364"/>
    <col width="6.54296875" customWidth="1" style="34" min="4365" max="4365"/>
    <col width="7.453125" customWidth="1" style="34" min="4366" max="4366"/>
    <col width="7" customWidth="1" style="34" min="4367" max="4367"/>
    <col width="7.54296875" customWidth="1" style="34" min="4368" max="4368"/>
    <col width="8.453125" customWidth="1" style="34" min="4369" max="4369"/>
    <col width="9.1796875" customWidth="1" style="34" min="4370" max="4608"/>
    <col width="6" customWidth="1" style="34" min="4609" max="4609"/>
    <col width="17.7265625" customWidth="1" style="34" min="4610" max="4610"/>
    <col width="8.453125" customWidth="1" style="34" min="4611" max="4613"/>
    <col width="7.1796875" customWidth="1" style="34" min="4614" max="4615"/>
    <col width="7.453125" customWidth="1" style="34" min="4616" max="4616"/>
    <col width="5.81640625" customWidth="1" style="34" min="4617" max="4617"/>
    <col width="6.54296875" customWidth="1" style="34" min="4618" max="4618"/>
    <col width="7.81640625" customWidth="1" style="34" min="4619" max="4619"/>
    <col width="9.7265625" customWidth="1" style="34" min="4620" max="4620"/>
    <col width="6.54296875" customWidth="1" style="34" min="4621" max="4621"/>
    <col width="7.453125" customWidth="1" style="34" min="4622" max="4622"/>
    <col width="7" customWidth="1" style="34" min="4623" max="4623"/>
    <col width="7.54296875" customWidth="1" style="34" min="4624" max="4624"/>
    <col width="8.453125" customWidth="1" style="34" min="4625" max="4625"/>
    <col width="9.1796875" customWidth="1" style="34" min="4626" max="4864"/>
    <col width="6" customWidth="1" style="34" min="4865" max="4865"/>
    <col width="17.7265625" customWidth="1" style="34" min="4866" max="4866"/>
    <col width="8.453125" customWidth="1" style="34" min="4867" max="4869"/>
    <col width="7.1796875" customWidth="1" style="34" min="4870" max="4871"/>
    <col width="7.453125" customWidth="1" style="34" min="4872" max="4872"/>
    <col width="5.81640625" customWidth="1" style="34" min="4873" max="4873"/>
    <col width="6.54296875" customWidth="1" style="34" min="4874" max="4874"/>
    <col width="7.81640625" customWidth="1" style="34" min="4875" max="4875"/>
    <col width="9.7265625" customWidth="1" style="34" min="4876" max="4876"/>
    <col width="6.54296875" customWidth="1" style="34" min="4877" max="4877"/>
    <col width="7.453125" customWidth="1" style="34" min="4878" max="4878"/>
    <col width="7" customWidth="1" style="34" min="4879" max="4879"/>
    <col width="7.54296875" customWidth="1" style="34" min="4880" max="4880"/>
    <col width="8.453125" customWidth="1" style="34" min="4881" max="4881"/>
    <col width="9.1796875" customWidth="1" style="34" min="4882" max="5120"/>
    <col width="6" customWidth="1" style="34" min="5121" max="5121"/>
    <col width="17.7265625" customWidth="1" style="34" min="5122" max="5122"/>
    <col width="8.453125" customWidth="1" style="34" min="5123" max="5125"/>
    <col width="7.1796875" customWidth="1" style="34" min="5126" max="5127"/>
    <col width="7.453125" customWidth="1" style="34" min="5128" max="5128"/>
    <col width="5.81640625" customWidth="1" style="34" min="5129" max="5129"/>
    <col width="6.54296875" customWidth="1" style="34" min="5130" max="5130"/>
    <col width="7.81640625" customWidth="1" style="34" min="5131" max="5131"/>
    <col width="9.7265625" customWidth="1" style="34" min="5132" max="5132"/>
    <col width="6.54296875" customWidth="1" style="34" min="5133" max="5133"/>
    <col width="7.453125" customWidth="1" style="34" min="5134" max="5134"/>
    <col width="7" customWidth="1" style="34" min="5135" max="5135"/>
    <col width="7.54296875" customWidth="1" style="34" min="5136" max="5136"/>
    <col width="8.453125" customWidth="1" style="34" min="5137" max="5137"/>
    <col width="9.1796875" customWidth="1" style="34" min="5138" max="5376"/>
    <col width="6" customWidth="1" style="34" min="5377" max="5377"/>
    <col width="17.7265625" customWidth="1" style="34" min="5378" max="5378"/>
    <col width="8.453125" customWidth="1" style="34" min="5379" max="5381"/>
    <col width="7.1796875" customWidth="1" style="34" min="5382" max="5383"/>
    <col width="7.453125" customWidth="1" style="34" min="5384" max="5384"/>
    <col width="5.81640625" customWidth="1" style="34" min="5385" max="5385"/>
    <col width="6.54296875" customWidth="1" style="34" min="5386" max="5386"/>
    <col width="7.81640625" customWidth="1" style="34" min="5387" max="5387"/>
    <col width="9.7265625" customWidth="1" style="34" min="5388" max="5388"/>
    <col width="6.54296875" customWidth="1" style="34" min="5389" max="5389"/>
    <col width="7.453125" customWidth="1" style="34" min="5390" max="5390"/>
    <col width="7" customWidth="1" style="34" min="5391" max="5391"/>
    <col width="7.54296875" customWidth="1" style="34" min="5392" max="5392"/>
    <col width="8.453125" customWidth="1" style="34" min="5393" max="5393"/>
    <col width="9.1796875" customWidth="1" style="34" min="5394" max="5632"/>
    <col width="6" customWidth="1" style="34" min="5633" max="5633"/>
    <col width="17.7265625" customWidth="1" style="34" min="5634" max="5634"/>
    <col width="8.453125" customWidth="1" style="34" min="5635" max="5637"/>
    <col width="7.1796875" customWidth="1" style="34" min="5638" max="5639"/>
    <col width="7.453125" customWidth="1" style="34" min="5640" max="5640"/>
    <col width="5.81640625" customWidth="1" style="34" min="5641" max="5641"/>
    <col width="6.54296875" customWidth="1" style="34" min="5642" max="5642"/>
    <col width="7.81640625" customWidth="1" style="34" min="5643" max="5643"/>
    <col width="9.7265625" customWidth="1" style="34" min="5644" max="5644"/>
    <col width="6.54296875" customWidth="1" style="34" min="5645" max="5645"/>
    <col width="7.453125" customWidth="1" style="34" min="5646" max="5646"/>
    <col width="7" customWidth="1" style="34" min="5647" max="5647"/>
    <col width="7.54296875" customWidth="1" style="34" min="5648" max="5648"/>
    <col width="8.453125" customWidth="1" style="34" min="5649" max="5649"/>
    <col width="9.1796875" customWidth="1" style="34" min="5650" max="5888"/>
    <col width="6" customWidth="1" style="34" min="5889" max="5889"/>
    <col width="17.7265625" customWidth="1" style="34" min="5890" max="5890"/>
    <col width="8.453125" customWidth="1" style="34" min="5891" max="5893"/>
    <col width="7.1796875" customWidth="1" style="34" min="5894" max="5895"/>
    <col width="7.453125" customWidth="1" style="34" min="5896" max="5896"/>
    <col width="5.81640625" customWidth="1" style="34" min="5897" max="5897"/>
    <col width="6.54296875" customWidth="1" style="34" min="5898" max="5898"/>
    <col width="7.81640625" customWidth="1" style="34" min="5899" max="5899"/>
    <col width="9.7265625" customWidth="1" style="34" min="5900" max="5900"/>
    <col width="6.54296875" customWidth="1" style="34" min="5901" max="5901"/>
    <col width="7.453125" customWidth="1" style="34" min="5902" max="5902"/>
    <col width="7" customWidth="1" style="34" min="5903" max="5903"/>
    <col width="7.54296875" customWidth="1" style="34" min="5904" max="5904"/>
    <col width="8.453125" customWidth="1" style="34" min="5905" max="5905"/>
    <col width="9.1796875" customWidth="1" style="34" min="5906" max="6144"/>
    <col width="6" customWidth="1" style="34" min="6145" max="6145"/>
    <col width="17.7265625" customWidth="1" style="34" min="6146" max="6146"/>
    <col width="8.453125" customWidth="1" style="34" min="6147" max="6149"/>
    <col width="7.1796875" customWidth="1" style="34" min="6150" max="6151"/>
    <col width="7.453125" customWidth="1" style="34" min="6152" max="6152"/>
    <col width="5.81640625" customWidth="1" style="34" min="6153" max="6153"/>
    <col width="6.54296875" customWidth="1" style="34" min="6154" max="6154"/>
    <col width="7.81640625" customWidth="1" style="34" min="6155" max="6155"/>
    <col width="9.7265625" customWidth="1" style="34" min="6156" max="6156"/>
    <col width="6.54296875" customWidth="1" style="34" min="6157" max="6157"/>
    <col width="7.453125" customWidth="1" style="34" min="6158" max="6158"/>
    <col width="7" customWidth="1" style="34" min="6159" max="6159"/>
    <col width="7.54296875" customWidth="1" style="34" min="6160" max="6160"/>
    <col width="8.453125" customWidth="1" style="34" min="6161" max="6161"/>
    <col width="9.1796875" customWidth="1" style="34" min="6162" max="6400"/>
    <col width="6" customWidth="1" style="34" min="6401" max="6401"/>
    <col width="17.7265625" customWidth="1" style="34" min="6402" max="6402"/>
    <col width="8.453125" customWidth="1" style="34" min="6403" max="6405"/>
    <col width="7.1796875" customWidth="1" style="34" min="6406" max="6407"/>
    <col width="7.453125" customWidth="1" style="34" min="6408" max="6408"/>
    <col width="5.81640625" customWidth="1" style="34" min="6409" max="6409"/>
    <col width="6.54296875" customWidth="1" style="34" min="6410" max="6410"/>
    <col width="7.81640625" customWidth="1" style="34" min="6411" max="6411"/>
    <col width="9.7265625" customWidth="1" style="34" min="6412" max="6412"/>
    <col width="6.54296875" customWidth="1" style="34" min="6413" max="6413"/>
    <col width="7.453125" customWidth="1" style="34" min="6414" max="6414"/>
    <col width="7" customWidth="1" style="34" min="6415" max="6415"/>
    <col width="7.54296875" customWidth="1" style="34" min="6416" max="6416"/>
    <col width="8.453125" customWidth="1" style="34" min="6417" max="6417"/>
    <col width="9.1796875" customWidth="1" style="34" min="6418" max="6656"/>
    <col width="6" customWidth="1" style="34" min="6657" max="6657"/>
    <col width="17.7265625" customWidth="1" style="34" min="6658" max="6658"/>
    <col width="8.453125" customWidth="1" style="34" min="6659" max="6661"/>
    <col width="7.1796875" customWidth="1" style="34" min="6662" max="6663"/>
    <col width="7.453125" customWidth="1" style="34" min="6664" max="6664"/>
    <col width="5.81640625" customWidth="1" style="34" min="6665" max="6665"/>
    <col width="6.54296875" customWidth="1" style="34" min="6666" max="6666"/>
    <col width="7.81640625" customWidth="1" style="34" min="6667" max="6667"/>
    <col width="9.7265625" customWidth="1" style="34" min="6668" max="6668"/>
    <col width="6.54296875" customWidth="1" style="34" min="6669" max="6669"/>
    <col width="7.453125" customWidth="1" style="34" min="6670" max="6670"/>
    <col width="7" customWidth="1" style="34" min="6671" max="6671"/>
    <col width="7.54296875" customWidth="1" style="34" min="6672" max="6672"/>
    <col width="8.453125" customWidth="1" style="34" min="6673" max="6673"/>
    <col width="9.1796875" customWidth="1" style="34" min="6674" max="6912"/>
    <col width="6" customWidth="1" style="34" min="6913" max="6913"/>
    <col width="17.7265625" customWidth="1" style="34" min="6914" max="6914"/>
    <col width="8.453125" customWidth="1" style="34" min="6915" max="6917"/>
    <col width="7.1796875" customWidth="1" style="34" min="6918" max="6919"/>
    <col width="7.453125" customWidth="1" style="34" min="6920" max="6920"/>
    <col width="5.81640625" customWidth="1" style="34" min="6921" max="6921"/>
    <col width="6.54296875" customWidth="1" style="34" min="6922" max="6922"/>
    <col width="7.81640625" customWidth="1" style="34" min="6923" max="6923"/>
    <col width="9.7265625" customWidth="1" style="34" min="6924" max="6924"/>
    <col width="6.54296875" customWidth="1" style="34" min="6925" max="6925"/>
    <col width="7.453125" customWidth="1" style="34" min="6926" max="6926"/>
    <col width="7" customWidth="1" style="34" min="6927" max="6927"/>
    <col width="7.54296875" customWidth="1" style="34" min="6928" max="6928"/>
    <col width="8.453125" customWidth="1" style="34" min="6929" max="6929"/>
    <col width="9.1796875" customWidth="1" style="34" min="6930" max="7168"/>
    <col width="6" customWidth="1" style="34" min="7169" max="7169"/>
    <col width="17.7265625" customWidth="1" style="34" min="7170" max="7170"/>
    <col width="8.453125" customWidth="1" style="34" min="7171" max="7173"/>
    <col width="7.1796875" customWidth="1" style="34" min="7174" max="7175"/>
    <col width="7.453125" customWidth="1" style="34" min="7176" max="7176"/>
    <col width="5.81640625" customWidth="1" style="34" min="7177" max="7177"/>
    <col width="6.54296875" customWidth="1" style="34" min="7178" max="7178"/>
    <col width="7.81640625" customWidth="1" style="34" min="7179" max="7179"/>
    <col width="9.7265625" customWidth="1" style="34" min="7180" max="7180"/>
    <col width="6.54296875" customWidth="1" style="34" min="7181" max="7181"/>
    <col width="7.453125" customWidth="1" style="34" min="7182" max="7182"/>
    <col width="7" customWidth="1" style="34" min="7183" max="7183"/>
    <col width="7.54296875" customWidth="1" style="34" min="7184" max="7184"/>
    <col width="8.453125" customWidth="1" style="34" min="7185" max="7185"/>
    <col width="9.1796875" customWidth="1" style="34" min="7186" max="7424"/>
    <col width="6" customWidth="1" style="34" min="7425" max="7425"/>
    <col width="17.7265625" customWidth="1" style="34" min="7426" max="7426"/>
    <col width="8.453125" customWidth="1" style="34" min="7427" max="7429"/>
    <col width="7.1796875" customWidth="1" style="34" min="7430" max="7431"/>
    <col width="7.453125" customWidth="1" style="34" min="7432" max="7432"/>
    <col width="5.81640625" customWidth="1" style="34" min="7433" max="7433"/>
    <col width="6.54296875" customWidth="1" style="34" min="7434" max="7434"/>
    <col width="7.81640625" customWidth="1" style="34" min="7435" max="7435"/>
    <col width="9.7265625" customWidth="1" style="34" min="7436" max="7436"/>
    <col width="6.54296875" customWidth="1" style="34" min="7437" max="7437"/>
    <col width="7.453125" customWidth="1" style="34" min="7438" max="7438"/>
    <col width="7" customWidth="1" style="34" min="7439" max="7439"/>
    <col width="7.54296875" customWidth="1" style="34" min="7440" max="7440"/>
    <col width="8.453125" customWidth="1" style="34" min="7441" max="7441"/>
    <col width="9.1796875" customWidth="1" style="34" min="7442" max="7680"/>
    <col width="6" customWidth="1" style="34" min="7681" max="7681"/>
    <col width="17.7265625" customWidth="1" style="34" min="7682" max="7682"/>
    <col width="8.453125" customWidth="1" style="34" min="7683" max="7685"/>
    <col width="7.1796875" customWidth="1" style="34" min="7686" max="7687"/>
    <col width="7.453125" customWidth="1" style="34" min="7688" max="7688"/>
    <col width="5.81640625" customWidth="1" style="34" min="7689" max="7689"/>
    <col width="6.54296875" customWidth="1" style="34" min="7690" max="7690"/>
    <col width="7.81640625" customWidth="1" style="34" min="7691" max="7691"/>
    <col width="9.7265625" customWidth="1" style="34" min="7692" max="7692"/>
    <col width="6.54296875" customWidth="1" style="34" min="7693" max="7693"/>
    <col width="7.453125" customWidth="1" style="34" min="7694" max="7694"/>
    <col width="7" customWidth="1" style="34" min="7695" max="7695"/>
    <col width="7.54296875" customWidth="1" style="34" min="7696" max="7696"/>
    <col width="8.453125" customWidth="1" style="34" min="7697" max="7697"/>
    <col width="9.1796875" customWidth="1" style="34" min="7698" max="7936"/>
    <col width="6" customWidth="1" style="34" min="7937" max="7937"/>
    <col width="17.7265625" customWidth="1" style="34" min="7938" max="7938"/>
    <col width="8.453125" customWidth="1" style="34" min="7939" max="7941"/>
    <col width="7.1796875" customWidth="1" style="34" min="7942" max="7943"/>
    <col width="7.453125" customWidth="1" style="34" min="7944" max="7944"/>
    <col width="5.81640625" customWidth="1" style="34" min="7945" max="7945"/>
    <col width="6.54296875" customWidth="1" style="34" min="7946" max="7946"/>
    <col width="7.81640625" customWidth="1" style="34" min="7947" max="7947"/>
    <col width="9.7265625" customWidth="1" style="34" min="7948" max="7948"/>
    <col width="6.54296875" customWidth="1" style="34" min="7949" max="7949"/>
    <col width="7.453125" customWidth="1" style="34" min="7950" max="7950"/>
    <col width="7" customWidth="1" style="34" min="7951" max="7951"/>
    <col width="7.54296875" customWidth="1" style="34" min="7952" max="7952"/>
    <col width="8.453125" customWidth="1" style="34" min="7953" max="7953"/>
    <col width="9.1796875" customWidth="1" style="34" min="7954" max="8192"/>
    <col width="6" customWidth="1" style="34" min="8193" max="8193"/>
    <col width="17.7265625" customWidth="1" style="34" min="8194" max="8194"/>
    <col width="8.453125" customWidth="1" style="34" min="8195" max="8197"/>
    <col width="7.1796875" customWidth="1" style="34" min="8198" max="8199"/>
    <col width="7.453125" customWidth="1" style="34" min="8200" max="8200"/>
    <col width="5.81640625" customWidth="1" style="34" min="8201" max="8201"/>
    <col width="6.54296875" customWidth="1" style="34" min="8202" max="8202"/>
    <col width="7.81640625" customWidth="1" style="34" min="8203" max="8203"/>
    <col width="9.7265625" customWidth="1" style="34" min="8204" max="8204"/>
    <col width="6.54296875" customWidth="1" style="34" min="8205" max="8205"/>
    <col width="7.453125" customWidth="1" style="34" min="8206" max="8206"/>
    <col width="7" customWidth="1" style="34" min="8207" max="8207"/>
    <col width="7.54296875" customWidth="1" style="34" min="8208" max="8208"/>
    <col width="8.453125" customWidth="1" style="34" min="8209" max="8209"/>
    <col width="9.1796875" customWidth="1" style="34" min="8210" max="8448"/>
    <col width="6" customWidth="1" style="34" min="8449" max="8449"/>
    <col width="17.7265625" customWidth="1" style="34" min="8450" max="8450"/>
    <col width="8.453125" customWidth="1" style="34" min="8451" max="8453"/>
    <col width="7.1796875" customWidth="1" style="34" min="8454" max="8455"/>
    <col width="7.453125" customWidth="1" style="34" min="8456" max="8456"/>
    <col width="5.81640625" customWidth="1" style="34" min="8457" max="8457"/>
    <col width="6.54296875" customWidth="1" style="34" min="8458" max="8458"/>
    <col width="7.81640625" customWidth="1" style="34" min="8459" max="8459"/>
    <col width="9.7265625" customWidth="1" style="34" min="8460" max="8460"/>
    <col width="6.54296875" customWidth="1" style="34" min="8461" max="8461"/>
    <col width="7.453125" customWidth="1" style="34" min="8462" max="8462"/>
    <col width="7" customWidth="1" style="34" min="8463" max="8463"/>
    <col width="7.54296875" customWidth="1" style="34" min="8464" max="8464"/>
    <col width="8.453125" customWidth="1" style="34" min="8465" max="8465"/>
    <col width="9.1796875" customWidth="1" style="34" min="8466" max="8704"/>
    <col width="6" customWidth="1" style="34" min="8705" max="8705"/>
    <col width="17.7265625" customWidth="1" style="34" min="8706" max="8706"/>
    <col width="8.453125" customWidth="1" style="34" min="8707" max="8709"/>
    <col width="7.1796875" customWidth="1" style="34" min="8710" max="8711"/>
    <col width="7.453125" customWidth="1" style="34" min="8712" max="8712"/>
    <col width="5.81640625" customWidth="1" style="34" min="8713" max="8713"/>
    <col width="6.54296875" customWidth="1" style="34" min="8714" max="8714"/>
    <col width="7.81640625" customWidth="1" style="34" min="8715" max="8715"/>
    <col width="9.7265625" customWidth="1" style="34" min="8716" max="8716"/>
    <col width="6.54296875" customWidth="1" style="34" min="8717" max="8717"/>
    <col width="7.453125" customWidth="1" style="34" min="8718" max="8718"/>
    <col width="7" customWidth="1" style="34" min="8719" max="8719"/>
    <col width="7.54296875" customWidth="1" style="34" min="8720" max="8720"/>
    <col width="8.453125" customWidth="1" style="34" min="8721" max="8721"/>
    <col width="9.1796875" customWidth="1" style="34" min="8722" max="8960"/>
    <col width="6" customWidth="1" style="34" min="8961" max="8961"/>
    <col width="17.7265625" customWidth="1" style="34" min="8962" max="8962"/>
    <col width="8.453125" customWidth="1" style="34" min="8963" max="8965"/>
    <col width="7.1796875" customWidth="1" style="34" min="8966" max="8967"/>
    <col width="7.453125" customWidth="1" style="34" min="8968" max="8968"/>
    <col width="5.81640625" customWidth="1" style="34" min="8969" max="8969"/>
    <col width="6.54296875" customWidth="1" style="34" min="8970" max="8970"/>
    <col width="7.81640625" customWidth="1" style="34" min="8971" max="8971"/>
    <col width="9.7265625" customWidth="1" style="34" min="8972" max="8972"/>
    <col width="6.54296875" customWidth="1" style="34" min="8973" max="8973"/>
    <col width="7.453125" customWidth="1" style="34" min="8974" max="8974"/>
    <col width="7" customWidth="1" style="34" min="8975" max="8975"/>
    <col width="7.54296875" customWidth="1" style="34" min="8976" max="8976"/>
    <col width="8.453125" customWidth="1" style="34" min="8977" max="8977"/>
    <col width="9.1796875" customWidth="1" style="34" min="8978" max="9216"/>
    <col width="6" customWidth="1" style="34" min="9217" max="9217"/>
    <col width="17.7265625" customWidth="1" style="34" min="9218" max="9218"/>
    <col width="8.453125" customWidth="1" style="34" min="9219" max="9221"/>
    <col width="7.1796875" customWidth="1" style="34" min="9222" max="9223"/>
    <col width="7.453125" customWidth="1" style="34" min="9224" max="9224"/>
    <col width="5.81640625" customWidth="1" style="34" min="9225" max="9225"/>
    <col width="6.54296875" customWidth="1" style="34" min="9226" max="9226"/>
    <col width="7.81640625" customWidth="1" style="34" min="9227" max="9227"/>
    <col width="9.7265625" customWidth="1" style="34" min="9228" max="9228"/>
    <col width="6.54296875" customWidth="1" style="34" min="9229" max="9229"/>
    <col width="7.453125" customWidth="1" style="34" min="9230" max="9230"/>
    <col width="7" customWidth="1" style="34" min="9231" max="9231"/>
    <col width="7.54296875" customWidth="1" style="34" min="9232" max="9232"/>
    <col width="8.453125" customWidth="1" style="34" min="9233" max="9233"/>
    <col width="9.1796875" customWidth="1" style="34" min="9234" max="9472"/>
    <col width="6" customWidth="1" style="34" min="9473" max="9473"/>
    <col width="17.7265625" customWidth="1" style="34" min="9474" max="9474"/>
    <col width="8.453125" customWidth="1" style="34" min="9475" max="9477"/>
    <col width="7.1796875" customWidth="1" style="34" min="9478" max="9479"/>
    <col width="7.453125" customWidth="1" style="34" min="9480" max="9480"/>
    <col width="5.81640625" customWidth="1" style="34" min="9481" max="9481"/>
    <col width="6.54296875" customWidth="1" style="34" min="9482" max="9482"/>
    <col width="7.81640625" customWidth="1" style="34" min="9483" max="9483"/>
    <col width="9.7265625" customWidth="1" style="34" min="9484" max="9484"/>
    <col width="6.54296875" customWidth="1" style="34" min="9485" max="9485"/>
    <col width="7.453125" customWidth="1" style="34" min="9486" max="9486"/>
    <col width="7" customWidth="1" style="34" min="9487" max="9487"/>
    <col width="7.54296875" customWidth="1" style="34" min="9488" max="9488"/>
    <col width="8.453125" customWidth="1" style="34" min="9489" max="9489"/>
    <col width="9.1796875" customWidth="1" style="34" min="9490" max="9728"/>
    <col width="6" customWidth="1" style="34" min="9729" max="9729"/>
    <col width="17.7265625" customWidth="1" style="34" min="9730" max="9730"/>
    <col width="8.453125" customWidth="1" style="34" min="9731" max="9733"/>
    <col width="7.1796875" customWidth="1" style="34" min="9734" max="9735"/>
    <col width="7.453125" customWidth="1" style="34" min="9736" max="9736"/>
    <col width="5.81640625" customWidth="1" style="34" min="9737" max="9737"/>
    <col width="6.54296875" customWidth="1" style="34" min="9738" max="9738"/>
    <col width="7.81640625" customWidth="1" style="34" min="9739" max="9739"/>
    <col width="9.7265625" customWidth="1" style="34" min="9740" max="9740"/>
    <col width="6.54296875" customWidth="1" style="34" min="9741" max="9741"/>
    <col width="7.453125" customWidth="1" style="34" min="9742" max="9742"/>
    <col width="7" customWidth="1" style="34" min="9743" max="9743"/>
    <col width="7.54296875" customWidth="1" style="34" min="9744" max="9744"/>
    <col width="8.453125" customWidth="1" style="34" min="9745" max="9745"/>
    <col width="9.1796875" customWidth="1" style="34" min="9746" max="9984"/>
    <col width="6" customWidth="1" style="34" min="9985" max="9985"/>
    <col width="17.7265625" customWidth="1" style="34" min="9986" max="9986"/>
    <col width="8.453125" customWidth="1" style="34" min="9987" max="9989"/>
    <col width="7.1796875" customWidth="1" style="34" min="9990" max="9991"/>
    <col width="7.453125" customWidth="1" style="34" min="9992" max="9992"/>
    <col width="5.81640625" customWidth="1" style="34" min="9993" max="9993"/>
    <col width="6.54296875" customWidth="1" style="34" min="9994" max="9994"/>
    <col width="7.81640625" customWidth="1" style="34" min="9995" max="9995"/>
    <col width="9.7265625" customWidth="1" style="34" min="9996" max="9996"/>
    <col width="6.54296875" customWidth="1" style="34" min="9997" max="9997"/>
    <col width="7.453125" customWidth="1" style="34" min="9998" max="9998"/>
    <col width="7" customWidth="1" style="34" min="9999" max="9999"/>
    <col width="7.54296875" customWidth="1" style="34" min="10000" max="10000"/>
    <col width="8.453125" customWidth="1" style="34" min="10001" max="10001"/>
    <col width="9.1796875" customWidth="1" style="34" min="10002" max="10240"/>
    <col width="6" customWidth="1" style="34" min="10241" max="10241"/>
    <col width="17.7265625" customWidth="1" style="34" min="10242" max="10242"/>
    <col width="8.453125" customWidth="1" style="34" min="10243" max="10245"/>
    <col width="7.1796875" customWidth="1" style="34" min="10246" max="10247"/>
    <col width="7.453125" customWidth="1" style="34" min="10248" max="10248"/>
    <col width="5.81640625" customWidth="1" style="34" min="10249" max="10249"/>
    <col width="6.54296875" customWidth="1" style="34" min="10250" max="10250"/>
    <col width="7.81640625" customWidth="1" style="34" min="10251" max="10251"/>
    <col width="9.7265625" customWidth="1" style="34" min="10252" max="10252"/>
    <col width="6.54296875" customWidth="1" style="34" min="10253" max="10253"/>
    <col width="7.453125" customWidth="1" style="34" min="10254" max="10254"/>
    <col width="7" customWidth="1" style="34" min="10255" max="10255"/>
    <col width="7.54296875" customWidth="1" style="34" min="10256" max="10256"/>
    <col width="8.453125" customWidth="1" style="34" min="10257" max="10257"/>
    <col width="9.1796875" customWidth="1" style="34" min="10258" max="10496"/>
    <col width="6" customWidth="1" style="34" min="10497" max="10497"/>
    <col width="17.7265625" customWidth="1" style="34" min="10498" max="10498"/>
    <col width="8.453125" customWidth="1" style="34" min="10499" max="10501"/>
    <col width="7.1796875" customWidth="1" style="34" min="10502" max="10503"/>
    <col width="7.453125" customWidth="1" style="34" min="10504" max="10504"/>
    <col width="5.81640625" customWidth="1" style="34" min="10505" max="10505"/>
    <col width="6.54296875" customWidth="1" style="34" min="10506" max="10506"/>
    <col width="7.81640625" customWidth="1" style="34" min="10507" max="10507"/>
    <col width="9.7265625" customWidth="1" style="34" min="10508" max="10508"/>
    <col width="6.54296875" customWidth="1" style="34" min="10509" max="10509"/>
    <col width="7.453125" customWidth="1" style="34" min="10510" max="10510"/>
    <col width="7" customWidth="1" style="34" min="10511" max="10511"/>
    <col width="7.54296875" customWidth="1" style="34" min="10512" max="10512"/>
    <col width="8.453125" customWidth="1" style="34" min="10513" max="10513"/>
    <col width="9.1796875" customWidth="1" style="34" min="10514" max="10752"/>
    <col width="6" customWidth="1" style="34" min="10753" max="10753"/>
    <col width="17.7265625" customWidth="1" style="34" min="10754" max="10754"/>
    <col width="8.453125" customWidth="1" style="34" min="10755" max="10757"/>
    <col width="7.1796875" customWidth="1" style="34" min="10758" max="10759"/>
    <col width="7.453125" customWidth="1" style="34" min="10760" max="10760"/>
    <col width="5.81640625" customWidth="1" style="34" min="10761" max="10761"/>
    <col width="6.54296875" customWidth="1" style="34" min="10762" max="10762"/>
    <col width="7.81640625" customWidth="1" style="34" min="10763" max="10763"/>
    <col width="9.7265625" customWidth="1" style="34" min="10764" max="10764"/>
    <col width="6.54296875" customWidth="1" style="34" min="10765" max="10765"/>
    <col width="7.453125" customWidth="1" style="34" min="10766" max="10766"/>
    <col width="7" customWidth="1" style="34" min="10767" max="10767"/>
    <col width="7.54296875" customWidth="1" style="34" min="10768" max="10768"/>
    <col width="8.453125" customWidth="1" style="34" min="10769" max="10769"/>
    <col width="9.1796875" customWidth="1" style="34" min="10770" max="11008"/>
    <col width="6" customWidth="1" style="34" min="11009" max="11009"/>
    <col width="17.7265625" customWidth="1" style="34" min="11010" max="11010"/>
    <col width="8.453125" customWidth="1" style="34" min="11011" max="11013"/>
    <col width="7.1796875" customWidth="1" style="34" min="11014" max="11015"/>
    <col width="7.453125" customWidth="1" style="34" min="11016" max="11016"/>
    <col width="5.81640625" customWidth="1" style="34" min="11017" max="11017"/>
    <col width="6.54296875" customWidth="1" style="34" min="11018" max="11018"/>
    <col width="7.81640625" customWidth="1" style="34" min="11019" max="11019"/>
    <col width="9.7265625" customWidth="1" style="34" min="11020" max="11020"/>
    <col width="6.54296875" customWidth="1" style="34" min="11021" max="11021"/>
    <col width="7.453125" customWidth="1" style="34" min="11022" max="11022"/>
    <col width="7" customWidth="1" style="34" min="11023" max="11023"/>
    <col width="7.54296875" customWidth="1" style="34" min="11024" max="11024"/>
    <col width="8.453125" customWidth="1" style="34" min="11025" max="11025"/>
    <col width="9.1796875" customWidth="1" style="34" min="11026" max="11264"/>
    <col width="6" customWidth="1" style="34" min="11265" max="11265"/>
    <col width="17.7265625" customWidth="1" style="34" min="11266" max="11266"/>
    <col width="8.453125" customWidth="1" style="34" min="11267" max="11269"/>
    <col width="7.1796875" customWidth="1" style="34" min="11270" max="11271"/>
    <col width="7.453125" customWidth="1" style="34" min="11272" max="11272"/>
    <col width="5.81640625" customWidth="1" style="34" min="11273" max="11273"/>
    <col width="6.54296875" customWidth="1" style="34" min="11274" max="11274"/>
    <col width="7.81640625" customWidth="1" style="34" min="11275" max="11275"/>
    <col width="9.7265625" customWidth="1" style="34" min="11276" max="11276"/>
    <col width="6.54296875" customWidth="1" style="34" min="11277" max="11277"/>
    <col width="7.453125" customWidth="1" style="34" min="11278" max="11278"/>
    <col width="7" customWidth="1" style="34" min="11279" max="11279"/>
    <col width="7.54296875" customWidth="1" style="34" min="11280" max="11280"/>
    <col width="8.453125" customWidth="1" style="34" min="11281" max="11281"/>
    <col width="9.1796875" customWidth="1" style="34" min="11282" max="11520"/>
    <col width="6" customWidth="1" style="34" min="11521" max="11521"/>
    <col width="17.7265625" customWidth="1" style="34" min="11522" max="11522"/>
    <col width="8.453125" customWidth="1" style="34" min="11523" max="11525"/>
    <col width="7.1796875" customWidth="1" style="34" min="11526" max="11527"/>
    <col width="7.453125" customWidth="1" style="34" min="11528" max="11528"/>
    <col width="5.81640625" customWidth="1" style="34" min="11529" max="11529"/>
    <col width="6.54296875" customWidth="1" style="34" min="11530" max="11530"/>
    <col width="7.81640625" customWidth="1" style="34" min="11531" max="11531"/>
    <col width="9.7265625" customWidth="1" style="34" min="11532" max="11532"/>
    <col width="6.54296875" customWidth="1" style="34" min="11533" max="11533"/>
    <col width="7.453125" customWidth="1" style="34" min="11534" max="11534"/>
    <col width="7" customWidth="1" style="34" min="11535" max="11535"/>
    <col width="7.54296875" customWidth="1" style="34" min="11536" max="11536"/>
    <col width="8.453125" customWidth="1" style="34" min="11537" max="11537"/>
    <col width="9.1796875" customWidth="1" style="34" min="11538" max="11776"/>
    <col width="6" customWidth="1" style="34" min="11777" max="11777"/>
    <col width="17.7265625" customWidth="1" style="34" min="11778" max="11778"/>
    <col width="8.453125" customWidth="1" style="34" min="11779" max="11781"/>
    <col width="7.1796875" customWidth="1" style="34" min="11782" max="11783"/>
    <col width="7.453125" customWidth="1" style="34" min="11784" max="11784"/>
    <col width="5.81640625" customWidth="1" style="34" min="11785" max="11785"/>
    <col width="6.54296875" customWidth="1" style="34" min="11786" max="11786"/>
    <col width="7.81640625" customWidth="1" style="34" min="11787" max="11787"/>
    <col width="9.7265625" customWidth="1" style="34" min="11788" max="11788"/>
    <col width="6.54296875" customWidth="1" style="34" min="11789" max="11789"/>
    <col width="7.453125" customWidth="1" style="34" min="11790" max="11790"/>
    <col width="7" customWidth="1" style="34" min="11791" max="11791"/>
    <col width="7.54296875" customWidth="1" style="34" min="11792" max="11792"/>
    <col width="8.453125" customWidth="1" style="34" min="11793" max="11793"/>
    <col width="9.1796875" customWidth="1" style="34" min="11794" max="12032"/>
    <col width="6" customWidth="1" style="34" min="12033" max="12033"/>
    <col width="17.7265625" customWidth="1" style="34" min="12034" max="12034"/>
    <col width="8.453125" customWidth="1" style="34" min="12035" max="12037"/>
    <col width="7.1796875" customWidth="1" style="34" min="12038" max="12039"/>
    <col width="7.453125" customWidth="1" style="34" min="12040" max="12040"/>
    <col width="5.81640625" customWidth="1" style="34" min="12041" max="12041"/>
    <col width="6.54296875" customWidth="1" style="34" min="12042" max="12042"/>
    <col width="7.81640625" customWidth="1" style="34" min="12043" max="12043"/>
    <col width="9.7265625" customWidth="1" style="34" min="12044" max="12044"/>
    <col width="6.54296875" customWidth="1" style="34" min="12045" max="12045"/>
    <col width="7.453125" customWidth="1" style="34" min="12046" max="12046"/>
    <col width="7" customWidth="1" style="34" min="12047" max="12047"/>
    <col width="7.54296875" customWidth="1" style="34" min="12048" max="12048"/>
    <col width="8.453125" customWidth="1" style="34" min="12049" max="12049"/>
    <col width="9.1796875" customWidth="1" style="34" min="12050" max="12288"/>
    <col width="6" customWidth="1" style="34" min="12289" max="12289"/>
    <col width="17.7265625" customWidth="1" style="34" min="12290" max="12290"/>
    <col width="8.453125" customWidth="1" style="34" min="12291" max="12293"/>
    <col width="7.1796875" customWidth="1" style="34" min="12294" max="12295"/>
    <col width="7.453125" customWidth="1" style="34" min="12296" max="12296"/>
    <col width="5.81640625" customWidth="1" style="34" min="12297" max="12297"/>
    <col width="6.54296875" customWidth="1" style="34" min="12298" max="12298"/>
    <col width="7.81640625" customWidth="1" style="34" min="12299" max="12299"/>
    <col width="9.7265625" customWidth="1" style="34" min="12300" max="12300"/>
    <col width="6.54296875" customWidth="1" style="34" min="12301" max="12301"/>
    <col width="7.453125" customWidth="1" style="34" min="12302" max="12302"/>
    <col width="7" customWidth="1" style="34" min="12303" max="12303"/>
    <col width="7.54296875" customWidth="1" style="34" min="12304" max="12304"/>
    <col width="8.453125" customWidth="1" style="34" min="12305" max="12305"/>
    <col width="9.1796875" customWidth="1" style="34" min="12306" max="12544"/>
    <col width="6" customWidth="1" style="34" min="12545" max="12545"/>
    <col width="17.7265625" customWidth="1" style="34" min="12546" max="12546"/>
    <col width="8.453125" customWidth="1" style="34" min="12547" max="12549"/>
    <col width="7.1796875" customWidth="1" style="34" min="12550" max="12551"/>
    <col width="7.453125" customWidth="1" style="34" min="12552" max="12552"/>
    <col width="5.81640625" customWidth="1" style="34" min="12553" max="12553"/>
    <col width="6.54296875" customWidth="1" style="34" min="12554" max="12554"/>
    <col width="7.81640625" customWidth="1" style="34" min="12555" max="12555"/>
    <col width="9.7265625" customWidth="1" style="34" min="12556" max="12556"/>
    <col width="6.54296875" customWidth="1" style="34" min="12557" max="12557"/>
    <col width="7.453125" customWidth="1" style="34" min="12558" max="12558"/>
    <col width="7" customWidth="1" style="34" min="12559" max="12559"/>
    <col width="7.54296875" customWidth="1" style="34" min="12560" max="12560"/>
    <col width="8.453125" customWidth="1" style="34" min="12561" max="12561"/>
    <col width="9.1796875" customWidth="1" style="34" min="12562" max="12800"/>
    <col width="6" customWidth="1" style="34" min="12801" max="12801"/>
    <col width="17.7265625" customWidth="1" style="34" min="12802" max="12802"/>
    <col width="8.453125" customWidth="1" style="34" min="12803" max="12805"/>
    <col width="7.1796875" customWidth="1" style="34" min="12806" max="12807"/>
    <col width="7.453125" customWidth="1" style="34" min="12808" max="12808"/>
    <col width="5.81640625" customWidth="1" style="34" min="12809" max="12809"/>
    <col width="6.54296875" customWidth="1" style="34" min="12810" max="12810"/>
    <col width="7.81640625" customWidth="1" style="34" min="12811" max="12811"/>
    <col width="9.7265625" customWidth="1" style="34" min="12812" max="12812"/>
    <col width="6.54296875" customWidth="1" style="34" min="12813" max="12813"/>
    <col width="7.453125" customWidth="1" style="34" min="12814" max="12814"/>
    <col width="7" customWidth="1" style="34" min="12815" max="12815"/>
    <col width="7.54296875" customWidth="1" style="34" min="12816" max="12816"/>
    <col width="8.453125" customWidth="1" style="34" min="12817" max="12817"/>
    <col width="9.1796875" customWidth="1" style="34" min="12818" max="13056"/>
    <col width="6" customWidth="1" style="34" min="13057" max="13057"/>
    <col width="17.7265625" customWidth="1" style="34" min="13058" max="13058"/>
    <col width="8.453125" customWidth="1" style="34" min="13059" max="13061"/>
    <col width="7.1796875" customWidth="1" style="34" min="13062" max="13063"/>
    <col width="7.453125" customWidth="1" style="34" min="13064" max="13064"/>
    <col width="5.81640625" customWidth="1" style="34" min="13065" max="13065"/>
    <col width="6.54296875" customWidth="1" style="34" min="13066" max="13066"/>
    <col width="7.81640625" customWidth="1" style="34" min="13067" max="13067"/>
    <col width="9.7265625" customWidth="1" style="34" min="13068" max="13068"/>
    <col width="6.54296875" customWidth="1" style="34" min="13069" max="13069"/>
    <col width="7.453125" customWidth="1" style="34" min="13070" max="13070"/>
    <col width="7" customWidth="1" style="34" min="13071" max="13071"/>
    <col width="7.54296875" customWidth="1" style="34" min="13072" max="13072"/>
    <col width="8.453125" customWidth="1" style="34" min="13073" max="13073"/>
    <col width="9.1796875" customWidth="1" style="34" min="13074" max="13312"/>
    <col width="6" customWidth="1" style="34" min="13313" max="13313"/>
    <col width="17.7265625" customWidth="1" style="34" min="13314" max="13314"/>
    <col width="8.453125" customWidth="1" style="34" min="13315" max="13317"/>
    <col width="7.1796875" customWidth="1" style="34" min="13318" max="13319"/>
    <col width="7.453125" customWidth="1" style="34" min="13320" max="13320"/>
    <col width="5.81640625" customWidth="1" style="34" min="13321" max="13321"/>
    <col width="6.54296875" customWidth="1" style="34" min="13322" max="13322"/>
    <col width="7.81640625" customWidth="1" style="34" min="13323" max="13323"/>
    <col width="9.7265625" customWidth="1" style="34" min="13324" max="13324"/>
    <col width="6.54296875" customWidth="1" style="34" min="13325" max="13325"/>
    <col width="7.453125" customWidth="1" style="34" min="13326" max="13326"/>
    <col width="7" customWidth="1" style="34" min="13327" max="13327"/>
    <col width="7.54296875" customWidth="1" style="34" min="13328" max="13328"/>
    <col width="8.453125" customWidth="1" style="34" min="13329" max="13329"/>
    <col width="9.1796875" customWidth="1" style="34" min="13330" max="13568"/>
    <col width="6" customWidth="1" style="34" min="13569" max="13569"/>
    <col width="17.7265625" customWidth="1" style="34" min="13570" max="13570"/>
    <col width="8.453125" customWidth="1" style="34" min="13571" max="13573"/>
    <col width="7.1796875" customWidth="1" style="34" min="13574" max="13575"/>
    <col width="7.453125" customWidth="1" style="34" min="13576" max="13576"/>
    <col width="5.81640625" customWidth="1" style="34" min="13577" max="13577"/>
    <col width="6.54296875" customWidth="1" style="34" min="13578" max="13578"/>
    <col width="7.81640625" customWidth="1" style="34" min="13579" max="13579"/>
    <col width="9.7265625" customWidth="1" style="34" min="13580" max="13580"/>
    <col width="6.54296875" customWidth="1" style="34" min="13581" max="13581"/>
    <col width="7.453125" customWidth="1" style="34" min="13582" max="13582"/>
    <col width="7" customWidth="1" style="34" min="13583" max="13583"/>
    <col width="7.54296875" customWidth="1" style="34" min="13584" max="13584"/>
    <col width="8.453125" customWidth="1" style="34" min="13585" max="13585"/>
    <col width="9.1796875" customWidth="1" style="34" min="13586" max="13824"/>
    <col width="6" customWidth="1" style="34" min="13825" max="13825"/>
    <col width="17.7265625" customWidth="1" style="34" min="13826" max="13826"/>
    <col width="8.453125" customWidth="1" style="34" min="13827" max="13829"/>
    <col width="7.1796875" customWidth="1" style="34" min="13830" max="13831"/>
    <col width="7.453125" customWidth="1" style="34" min="13832" max="13832"/>
    <col width="5.81640625" customWidth="1" style="34" min="13833" max="13833"/>
    <col width="6.54296875" customWidth="1" style="34" min="13834" max="13834"/>
    <col width="7.81640625" customWidth="1" style="34" min="13835" max="13835"/>
    <col width="9.7265625" customWidth="1" style="34" min="13836" max="13836"/>
    <col width="6.54296875" customWidth="1" style="34" min="13837" max="13837"/>
    <col width="7.453125" customWidth="1" style="34" min="13838" max="13838"/>
    <col width="7" customWidth="1" style="34" min="13839" max="13839"/>
    <col width="7.54296875" customWidth="1" style="34" min="13840" max="13840"/>
    <col width="8.453125" customWidth="1" style="34" min="13841" max="13841"/>
    <col width="9.1796875" customWidth="1" style="34" min="13842" max="14080"/>
    <col width="6" customWidth="1" style="34" min="14081" max="14081"/>
    <col width="17.7265625" customWidth="1" style="34" min="14082" max="14082"/>
    <col width="8.453125" customWidth="1" style="34" min="14083" max="14085"/>
    <col width="7.1796875" customWidth="1" style="34" min="14086" max="14087"/>
    <col width="7.453125" customWidth="1" style="34" min="14088" max="14088"/>
    <col width="5.81640625" customWidth="1" style="34" min="14089" max="14089"/>
    <col width="6.54296875" customWidth="1" style="34" min="14090" max="14090"/>
    <col width="7.81640625" customWidth="1" style="34" min="14091" max="14091"/>
    <col width="9.7265625" customWidth="1" style="34" min="14092" max="14092"/>
    <col width="6.54296875" customWidth="1" style="34" min="14093" max="14093"/>
    <col width="7.453125" customWidth="1" style="34" min="14094" max="14094"/>
    <col width="7" customWidth="1" style="34" min="14095" max="14095"/>
    <col width="7.54296875" customWidth="1" style="34" min="14096" max="14096"/>
    <col width="8.453125" customWidth="1" style="34" min="14097" max="14097"/>
    <col width="9.1796875" customWidth="1" style="34" min="14098" max="14336"/>
    <col width="6" customWidth="1" style="34" min="14337" max="14337"/>
    <col width="17.7265625" customWidth="1" style="34" min="14338" max="14338"/>
    <col width="8.453125" customWidth="1" style="34" min="14339" max="14341"/>
    <col width="7.1796875" customWidth="1" style="34" min="14342" max="14343"/>
    <col width="7.453125" customWidth="1" style="34" min="14344" max="14344"/>
    <col width="5.81640625" customWidth="1" style="34" min="14345" max="14345"/>
    <col width="6.54296875" customWidth="1" style="34" min="14346" max="14346"/>
    <col width="7.81640625" customWidth="1" style="34" min="14347" max="14347"/>
    <col width="9.7265625" customWidth="1" style="34" min="14348" max="14348"/>
    <col width="6.54296875" customWidth="1" style="34" min="14349" max="14349"/>
    <col width="7.453125" customWidth="1" style="34" min="14350" max="14350"/>
    <col width="7" customWidth="1" style="34" min="14351" max="14351"/>
    <col width="7.54296875" customWidth="1" style="34" min="14352" max="14352"/>
    <col width="8.453125" customWidth="1" style="34" min="14353" max="14353"/>
    <col width="9.1796875" customWidth="1" style="34" min="14354" max="14592"/>
    <col width="6" customWidth="1" style="34" min="14593" max="14593"/>
    <col width="17.7265625" customWidth="1" style="34" min="14594" max="14594"/>
    <col width="8.453125" customWidth="1" style="34" min="14595" max="14597"/>
    <col width="7.1796875" customWidth="1" style="34" min="14598" max="14599"/>
    <col width="7.453125" customWidth="1" style="34" min="14600" max="14600"/>
    <col width="5.81640625" customWidth="1" style="34" min="14601" max="14601"/>
    <col width="6.54296875" customWidth="1" style="34" min="14602" max="14602"/>
    <col width="7.81640625" customWidth="1" style="34" min="14603" max="14603"/>
    <col width="9.7265625" customWidth="1" style="34" min="14604" max="14604"/>
    <col width="6.54296875" customWidth="1" style="34" min="14605" max="14605"/>
    <col width="7.453125" customWidth="1" style="34" min="14606" max="14606"/>
    <col width="7" customWidth="1" style="34" min="14607" max="14607"/>
    <col width="7.54296875" customWidth="1" style="34" min="14608" max="14608"/>
    <col width="8.453125" customWidth="1" style="34" min="14609" max="14609"/>
    <col width="9.1796875" customWidth="1" style="34" min="14610" max="14848"/>
    <col width="6" customWidth="1" style="34" min="14849" max="14849"/>
    <col width="17.7265625" customWidth="1" style="34" min="14850" max="14850"/>
    <col width="8.453125" customWidth="1" style="34" min="14851" max="14853"/>
    <col width="7.1796875" customWidth="1" style="34" min="14854" max="14855"/>
    <col width="7.453125" customWidth="1" style="34" min="14856" max="14856"/>
    <col width="5.81640625" customWidth="1" style="34" min="14857" max="14857"/>
    <col width="6.54296875" customWidth="1" style="34" min="14858" max="14858"/>
    <col width="7.81640625" customWidth="1" style="34" min="14859" max="14859"/>
    <col width="9.7265625" customWidth="1" style="34" min="14860" max="14860"/>
    <col width="6.54296875" customWidth="1" style="34" min="14861" max="14861"/>
    <col width="7.453125" customWidth="1" style="34" min="14862" max="14862"/>
    <col width="7" customWidth="1" style="34" min="14863" max="14863"/>
    <col width="7.54296875" customWidth="1" style="34" min="14864" max="14864"/>
    <col width="8.453125" customWidth="1" style="34" min="14865" max="14865"/>
    <col width="9.1796875" customWidth="1" style="34" min="14866" max="15104"/>
    <col width="6" customWidth="1" style="34" min="15105" max="15105"/>
    <col width="17.7265625" customWidth="1" style="34" min="15106" max="15106"/>
    <col width="8.453125" customWidth="1" style="34" min="15107" max="15109"/>
    <col width="7.1796875" customWidth="1" style="34" min="15110" max="15111"/>
    <col width="7.453125" customWidth="1" style="34" min="15112" max="15112"/>
    <col width="5.81640625" customWidth="1" style="34" min="15113" max="15113"/>
    <col width="6.54296875" customWidth="1" style="34" min="15114" max="15114"/>
    <col width="7.81640625" customWidth="1" style="34" min="15115" max="15115"/>
    <col width="9.7265625" customWidth="1" style="34" min="15116" max="15116"/>
    <col width="6.54296875" customWidth="1" style="34" min="15117" max="15117"/>
    <col width="7.453125" customWidth="1" style="34" min="15118" max="15118"/>
    <col width="7" customWidth="1" style="34" min="15119" max="15119"/>
    <col width="7.54296875" customWidth="1" style="34" min="15120" max="15120"/>
    <col width="8.453125" customWidth="1" style="34" min="15121" max="15121"/>
    <col width="9.1796875" customWidth="1" style="34" min="15122" max="15360"/>
    <col width="6" customWidth="1" style="34" min="15361" max="15361"/>
    <col width="17.7265625" customWidth="1" style="34" min="15362" max="15362"/>
    <col width="8.453125" customWidth="1" style="34" min="15363" max="15365"/>
    <col width="7.1796875" customWidth="1" style="34" min="15366" max="15367"/>
    <col width="7.453125" customWidth="1" style="34" min="15368" max="15368"/>
    <col width="5.81640625" customWidth="1" style="34" min="15369" max="15369"/>
    <col width="6.54296875" customWidth="1" style="34" min="15370" max="15370"/>
    <col width="7.81640625" customWidth="1" style="34" min="15371" max="15371"/>
    <col width="9.7265625" customWidth="1" style="34" min="15372" max="15372"/>
    <col width="6.54296875" customWidth="1" style="34" min="15373" max="15373"/>
    <col width="7.453125" customWidth="1" style="34" min="15374" max="15374"/>
    <col width="7" customWidth="1" style="34" min="15375" max="15375"/>
    <col width="7.54296875" customWidth="1" style="34" min="15376" max="15376"/>
    <col width="8.453125" customWidth="1" style="34" min="15377" max="15377"/>
    <col width="9.1796875" customWidth="1" style="34" min="15378" max="15616"/>
    <col width="6" customWidth="1" style="34" min="15617" max="15617"/>
    <col width="17.7265625" customWidth="1" style="34" min="15618" max="15618"/>
    <col width="8.453125" customWidth="1" style="34" min="15619" max="15621"/>
    <col width="7.1796875" customWidth="1" style="34" min="15622" max="15623"/>
    <col width="7.453125" customWidth="1" style="34" min="15624" max="15624"/>
    <col width="5.81640625" customWidth="1" style="34" min="15625" max="15625"/>
    <col width="6.54296875" customWidth="1" style="34" min="15626" max="15626"/>
    <col width="7.81640625" customWidth="1" style="34" min="15627" max="15627"/>
    <col width="9.7265625" customWidth="1" style="34" min="15628" max="15628"/>
    <col width="6.54296875" customWidth="1" style="34" min="15629" max="15629"/>
    <col width="7.453125" customWidth="1" style="34" min="15630" max="15630"/>
    <col width="7" customWidth="1" style="34" min="15631" max="15631"/>
    <col width="7.54296875" customWidth="1" style="34" min="15632" max="15632"/>
    <col width="8.453125" customWidth="1" style="34" min="15633" max="15633"/>
    <col width="9.1796875" customWidth="1" style="34" min="15634" max="15872"/>
    <col width="6" customWidth="1" style="34" min="15873" max="15873"/>
    <col width="17.7265625" customWidth="1" style="34" min="15874" max="15874"/>
    <col width="8.453125" customWidth="1" style="34" min="15875" max="15877"/>
    <col width="7.1796875" customWidth="1" style="34" min="15878" max="15879"/>
    <col width="7.453125" customWidth="1" style="34" min="15880" max="15880"/>
    <col width="5.81640625" customWidth="1" style="34" min="15881" max="15881"/>
    <col width="6.54296875" customWidth="1" style="34" min="15882" max="15882"/>
    <col width="7.81640625" customWidth="1" style="34" min="15883" max="15883"/>
    <col width="9.7265625" customWidth="1" style="34" min="15884" max="15884"/>
    <col width="6.54296875" customWidth="1" style="34" min="15885" max="15885"/>
    <col width="7.453125" customWidth="1" style="34" min="15886" max="15886"/>
    <col width="7" customWidth="1" style="34" min="15887" max="15887"/>
    <col width="7.54296875" customWidth="1" style="34" min="15888" max="15888"/>
    <col width="8.453125" customWidth="1" style="34" min="15889" max="15889"/>
    <col width="9.1796875" customWidth="1" style="34" min="15890" max="16128"/>
    <col width="6" customWidth="1" style="34" min="16129" max="16129"/>
    <col width="17.7265625" customWidth="1" style="34" min="16130" max="16130"/>
    <col width="8.453125" customWidth="1" style="34" min="16131" max="16133"/>
    <col width="7.1796875" customWidth="1" style="34" min="16134" max="16135"/>
    <col width="7.453125" customWidth="1" style="34" min="16136" max="16136"/>
    <col width="5.81640625" customWidth="1" style="34" min="16137" max="16137"/>
    <col width="6.54296875" customWidth="1" style="34" min="16138" max="16138"/>
    <col width="7.81640625" customWidth="1" style="34" min="16139" max="16139"/>
    <col width="9.7265625" customWidth="1" style="34" min="16140" max="16140"/>
    <col width="6.54296875" customWidth="1" style="34" min="16141" max="16141"/>
    <col width="7.453125" customWidth="1" style="34" min="16142" max="16142"/>
    <col width="7" customWidth="1" style="34" min="16143" max="16143"/>
    <col width="7.54296875" customWidth="1" style="34" min="16144" max="16144"/>
    <col width="8.453125" customWidth="1" style="34" min="16145" max="16145"/>
    <col width="9.1796875" customWidth="1" style="34" min="16146" max="16384"/>
  </cols>
  <sheetData>
    <row r="1">
      <c r="A1" s="1" t="inlineStr">
        <is>
          <t>Biểu 8a-DN</t>
        </is>
      </c>
      <c r="B1" s="2" t="n"/>
      <c r="C1" s="2" t="n"/>
      <c r="D1" s="2" t="n"/>
      <c r="E1" s="2" t="n"/>
      <c r="F1" s="2" t="n"/>
      <c r="G1" s="3" t="n"/>
      <c r="H1" s="2" t="n"/>
      <c r="I1" s="2" t="n"/>
      <c r="J1" s="2" t="n"/>
    </row>
    <row r="2" ht="21" customHeight="1">
      <c r="A2" s="26" t="inlineStr">
        <is>
          <t>TỔNG HỢP KẾT QUẢ SẢN XUẤT DIÊM NGHIỆP TRÊN ĐỊA BÀN THÀNH PHỐ HỒ CHÍ MINH ĐẾN [NGÀY CHỐT BÁO CÁO] (Tính lũy kế đến thời điểm báo cáo)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7" t="n"/>
      <c r="K2" s="37" t="n"/>
      <c r="L2" s="37" t="n"/>
      <c r="M2" s="37" t="n"/>
      <c r="N2" s="37" t="n"/>
      <c r="O2" s="37" t="n"/>
      <c r="P2" s="37" t="n"/>
      <c r="Q2" s="37" t="n"/>
    </row>
    <row r="3" ht="38.5" customFormat="1" customHeight="1" s="5">
      <c r="A3" s="27" t="inlineStr">
        <is>
          <t>STT</t>
        </is>
      </c>
      <c r="B3" s="27" t="inlineStr">
        <is>
          <t>Tỉnh/thành phố trực thuộc TW</t>
        </is>
      </c>
      <c r="C3" s="27" t="inlineStr">
        <is>
          <t>Diện tích sản xuất muối (ha)</t>
        </is>
      </c>
      <c r="D3" s="38" t="n"/>
      <c r="E3" s="39" t="n"/>
      <c r="F3" s="31" t="inlineStr">
        <is>
          <t>Sản lượng muối (tấn)</t>
        </is>
      </c>
      <c r="G3" s="38" t="n"/>
      <c r="H3" s="39" t="n"/>
      <c r="I3" s="31" t="inlineStr">
        <is>
          <t>Sản lượng muối tiêu thụ (tấn)</t>
        </is>
      </c>
      <c r="J3" s="38" t="n"/>
      <c r="K3" s="39" t="n"/>
      <c r="L3" s="31" t="inlineStr">
        <is>
          <t>Lượng muối tồn dư chuyển năm sau (tấn)</t>
        </is>
      </c>
      <c r="M3" s="31" t="inlineStr">
        <is>
          <t>Sản lượng muối chế biến (tấn)</t>
        </is>
      </c>
      <c r="N3" s="38" t="n"/>
      <c r="O3" s="39" t="n"/>
      <c r="P3" s="31" t="inlineStr">
        <is>
          <t>Số hộ làm muối (hộ)</t>
        </is>
      </c>
      <c r="Q3" s="31" t="inlineStr">
        <is>
          <t>Số lao động làm muối (người)</t>
        </is>
      </c>
    </row>
    <row r="4" ht="45" customFormat="1" customHeight="1" s="5">
      <c r="A4" s="40" t="n"/>
      <c r="B4" s="40" t="n"/>
      <c r="C4" s="31" t="inlineStr">
        <is>
          <t>Cộng</t>
        </is>
      </c>
      <c r="D4" s="27" t="inlineStr">
        <is>
          <t>Muối thủ công</t>
        </is>
      </c>
      <c r="E4" s="31" t="inlineStr">
        <is>
          <t>Muối công nghiệp</t>
        </is>
      </c>
      <c r="F4" s="31" t="inlineStr">
        <is>
          <t>Cộng</t>
        </is>
      </c>
      <c r="G4" s="27" t="inlineStr">
        <is>
          <t>Muối thủ công</t>
        </is>
      </c>
      <c r="H4" s="31" t="inlineStr">
        <is>
          <t>Muối công nghiệp</t>
        </is>
      </c>
      <c r="I4" s="31" t="inlineStr">
        <is>
          <t>Cộng</t>
        </is>
      </c>
      <c r="J4" s="27" t="inlineStr">
        <is>
          <t>Muối thủ công</t>
        </is>
      </c>
      <c r="K4" s="31" t="inlineStr">
        <is>
          <t>Muối công nghiệp</t>
        </is>
      </c>
      <c r="L4" s="40" t="n"/>
      <c r="M4" s="31" t="inlineStr">
        <is>
          <t>Cộng</t>
        </is>
      </c>
      <c r="N4" s="27" t="inlineStr">
        <is>
          <t>Muối tinh</t>
        </is>
      </c>
      <c r="O4" s="31" t="inlineStr">
        <is>
          <t>Muối I-Ốt</t>
        </is>
      </c>
      <c r="P4" s="40" t="n"/>
      <c r="Q4" s="40" t="n"/>
    </row>
    <row r="5" ht="28" customFormat="1" customHeight="1" s="9">
      <c r="A5" s="8" t="n">
        <v>1</v>
      </c>
      <c r="B5" s="8" t="n">
        <v>2</v>
      </c>
      <c r="C5" s="8" t="inlineStr">
        <is>
          <t>3=4+5</t>
        </is>
      </c>
      <c r="D5" s="8" t="n">
        <v>4</v>
      </c>
      <c r="E5" s="8" t="n">
        <v>5</v>
      </c>
      <c r="F5" s="8" t="inlineStr">
        <is>
          <t>6=7+8</t>
        </is>
      </c>
      <c r="G5" s="8" t="n">
        <v>7</v>
      </c>
      <c r="H5" s="8" t="n">
        <v>8</v>
      </c>
      <c r="I5" s="8" t="inlineStr">
        <is>
          <t>9=10+11</t>
        </is>
      </c>
      <c r="J5" s="8" t="n">
        <v>10</v>
      </c>
      <c r="K5" s="8" t="n">
        <v>11</v>
      </c>
      <c r="L5" s="8" t="n">
        <v>12</v>
      </c>
      <c r="M5" s="8" t="inlineStr">
        <is>
          <t>13=14+15</t>
        </is>
      </c>
      <c r="N5" s="8" t="n">
        <v>14</v>
      </c>
      <c r="O5" s="8" t="n">
        <v>15</v>
      </c>
      <c r="P5" s="8" t="n">
        <v>16</v>
      </c>
      <c r="Q5" s="8" t="n">
        <v>17</v>
      </c>
    </row>
    <row r="6" ht="15" customFormat="1" customHeight="1" s="12">
      <c r="A6" s="10" t="n"/>
      <c r="B6" s="11" t="inlineStr">
        <is>
          <t>CẢ TỈNH</t>
        </is>
      </c>
      <c r="C6" s="25">
        <f>SUM(C7:C14)</f>
        <v/>
      </c>
      <c r="D6" s="25">
        <f>SUM(D7:D14)</f>
        <v/>
      </c>
      <c r="E6" s="25">
        <f>SUM(E7:E14)</f>
        <v/>
      </c>
      <c r="F6" s="25">
        <f>SUM(F7:F14)</f>
        <v/>
      </c>
      <c r="G6" s="25">
        <f>SUM(G7:G14)</f>
        <v/>
      </c>
      <c r="H6" s="25">
        <f>SUM(H7:H14)</f>
        <v/>
      </c>
      <c r="I6" s="25">
        <f>SUM(I7:I14)</f>
        <v/>
      </c>
      <c r="J6" s="25">
        <f>SUM(J7:J14)</f>
        <v/>
      </c>
      <c r="K6" s="25">
        <f>SUM(K7:K14)</f>
        <v/>
      </c>
      <c r="L6" s="25">
        <f>SUM(L7:L14)</f>
        <v/>
      </c>
      <c r="M6" s="25">
        <f>SUM(M7:M14)</f>
        <v/>
      </c>
      <c r="N6" s="25">
        <f>SUM(N7:N14)</f>
        <v/>
      </c>
      <c r="O6" s="25">
        <f>SUM(O7:O14)</f>
        <v/>
      </c>
      <c r="P6" s="25">
        <f>SUM(P7:P14)</f>
        <v/>
      </c>
      <c r="Q6" s="25">
        <f>SUM(Q7:Q14)</f>
        <v/>
      </c>
    </row>
    <row r="7" customFormat="1" s="12">
      <c r="A7" s="20" t="n">
        <v>1</v>
      </c>
      <c r="B7" s="16" t="inlineStr">
        <is>
          <t>Xã An Thời Đông</t>
        </is>
      </c>
      <c r="C7" s="24" t="n"/>
      <c r="D7" s="23" t="n"/>
      <c r="E7" s="22" t="n"/>
      <c r="F7" s="24" t="n"/>
      <c r="G7" s="23" t="n"/>
      <c r="H7" s="22" t="n"/>
      <c r="I7" s="24" t="n"/>
      <c r="J7" s="23" t="n"/>
      <c r="K7" s="22" t="n"/>
      <c r="L7" s="18" t="n"/>
      <c r="M7" s="18" t="n"/>
      <c r="N7" s="18" t="n"/>
      <c r="O7" s="18" t="n"/>
      <c r="P7" s="23" t="n"/>
      <c r="Q7" s="23" t="n"/>
    </row>
    <row r="8" customFormat="1" s="12">
      <c r="A8" s="20" t="n">
        <v>2</v>
      </c>
      <c r="B8" s="16" t="inlineStr">
        <is>
          <t>Xã Thạnh An</t>
        </is>
      </c>
      <c r="C8" s="24" t="n"/>
      <c r="D8" s="23" t="n"/>
      <c r="E8" s="22" t="n"/>
      <c r="F8" s="24" t="n"/>
      <c r="G8" s="23" t="n"/>
      <c r="H8" s="22" t="n"/>
      <c r="I8" s="24" t="n"/>
      <c r="J8" s="23" t="n"/>
      <c r="K8" s="22" t="n"/>
      <c r="L8" s="18" t="n"/>
      <c r="M8" s="18" t="n"/>
      <c r="N8" s="18" t="n"/>
      <c r="O8" s="18" t="n"/>
      <c r="P8" s="23" t="n"/>
      <c r="Q8" s="23" t="n"/>
    </row>
    <row r="9" customFormat="1" s="12">
      <c r="A9" s="13" t="n">
        <v>3</v>
      </c>
      <c r="B9" s="16" t="inlineStr">
        <is>
          <t>Xã Cần Giờ</t>
        </is>
      </c>
      <c r="C9" s="24" t="n"/>
      <c r="D9" s="23" t="n"/>
      <c r="E9" s="22" t="n"/>
      <c r="F9" s="24" t="n"/>
      <c r="G9" s="23" t="n"/>
      <c r="H9" s="22" t="n"/>
      <c r="I9" s="24" t="n"/>
      <c r="J9" s="23" t="n"/>
      <c r="K9" s="22" t="n"/>
      <c r="L9" s="18" t="n"/>
      <c r="M9" s="18" t="n"/>
      <c r="N9" s="18" t="n"/>
      <c r="O9" s="18" t="n"/>
      <c r="P9" s="23" t="n"/>
      <c r="Q9" s="23" t="n"/>
    </row>
    <row r="10" customFormat="1" s="12">
      <c r="A10" s="13" t="n">
        <v>4</v>
      </c>
      <c r="B10" s="19" t="inlineStr">
        <is>
          <t>Xã Long Điền</t>
        </is>
      </c>
      <c r="C10" s="24" t="n"/>
      <c r="D10" s="23" t="n"/>
      <c r="E10" s="22" t="n"/>
      <c r="F10" s="24" t="n"/>
      <c r="G10" s="23" t="n"/>
      <c r="H10" s="22" t="n"/>
      <c r="I10" s="24" t="n"/>
      <c r="J10" s="23" t="n"/>
      <c r="K10" s="22" t="n"/>
      <c r="L10" s="18" t="n"/>
      <c r="M10" s="18" t="n"/>
      <c r="N10" s="18" t="n"/>
      <c r="O10" s="18" t="n"/>
      <c r="P10" s="23" t="n"/>
      <c r="Q10" s="23" t="n"/>
    </row>
    <row r="11">
      <c r="A11" s="20" t="n">
        <v>5</v>
      </c>
      <c r="B11" s="19" t="inlineStr">
        <is>
          <t>Xã Long Sơn</t>
        </is>
      </c>
      <c r="C11" s="24" t="n"/>
      <c r="D11" s="23" t="n"/>
      <c r="E11" s="22" t="n"/>
      <c r="F11" s="24" t="n"/>
      <c r="G11" s="23" t="n"/>
      <c r="H11" s="22" t="n"/>
      <c r="I11" s="24" t="n"/>
      <c r="J11" s="23" t="n"/>
      <c r="K11" s="22" t="n"/>
      <c r="L11" s="21" t="n"/>
      <c r="M11" s="21" t="n"/>
      <c r="N11" s="21" t="n"/>
      <c r="O11" s="21" t="n"/>
      <c r="P11" s="23" t="n"/>
      <c r="Q11" s="23" t="n"/>
    </row>
    <row r="12">
      <c r="A12" s="20" t="n">
        <v>6</v>
      </c>
      <c r="B12" s="19" t="inlineStr">
        <is>
          <t>Phường Phước Thắng</t>
        </is>
      </c>
      <c r="C12" s="24" t="n"/>
      <c r="D12" s="23" t="n"/>
      <c r="E12" s="22" t="n"/>
      <c r="F12" s="24" t="n"/>
      <c r="G12" s="23" t="n"/>
      <c r="H12" s="22" t="n"/>
      <c r="I12" s="24" t="n"/>
      <c r="J12" s="23" t="n"/>
      <c r="K12" s="22" t="n"/>
      <c r="L12" s="21" t="n"/>
      <c r="M12" s="21" t="n"/>
      <c r="N12" s="21" t="n"/>
      <c r="O12" s="21" t="n"/>
      <c r="P12" s="23" t="n"/>
      <c r="Q12" s="23" t="n"/>
    </row>
    <row r="13">
      <c r="A13" s="13" t="n">
        <v>7</v>
      </c>
      <c r="B13" s="17" t="inlineStr">
        <is>
          <t>Phường Long Hương</t>
        </is>
      </c>
      <c r="C13" s="24" t="n"/>
      <c r="D13" s="23" t="n"/>
      <c r="E13" s="22" t="n"/>
      <c r="F13" s="24" t="n"/>
      <c r="G13" s="23" t="n"/>
      <c r="H13" s="22" t="n"/>
      <c r="I13" s="24" t="n"/>
      <c r="J13" s="23" t="n"/>
      <c r="K13" s="22" t="n"/>
      <c r="L13" s="14" t="n"/>
      <c r="M13" s="14" t="n"/>
      <c r="N13" s="14" t="n"/>
      <c r="O13" s="14" t="n"/>
      <c r="P13" s="23" t="n"/>
      <c r="Q13" s="23" t="n"/>
    </row>
    <row r="14">
      <c r="A14" s="13" t="n">
        <v>8</v>
      </c>
      <c r="B14" s="17" t="inlineStr">
        <is>
          <t>Phường Bà Rịa</t>
        </is>
      </c>
      <c r="C14" s="24" t="n"/>
      <c r="D14" s="23" t="n"/>
      <c r="E14" s="22" t="n"/>
      <c r="F14" s="24" t="n"/>
      <c r="G14" s="23" t="n"/>
      <c r="H14" s="22" t="n"/>
      <c r="I14" s="24" t="n"/>
      <c r="J14" s="23" t="n"/>
      <c r="K14" s="22" t="n"/>
      <c r="L14" s="14" t="n"/>
      <c r="M14" s="14" t="n"/>
      <c r="N14" s="14" t="n"/>
      <c r="O14" s="14" t="n"/>
      <c r="P14" s="23" t="n"/>
      <c r="Q14" s="23" t="n"/>
    </row>
    <row r="16">
      <c r="A16" s="34" t="inlineStr">
        <is>
          <t>Giá muối bình quân: [HỆ THỐNG TỰ ĐIỀN]</t>
        </is>
      </c>
      <c r="I16" s="34" t="n"/>
      <c r="J16" s="34" t="n"/>
      <c r="K16" s="34" t="n"/>
    </row>
    <row r="17">
      <c r="I17" s="34" t="n"/>
      <c r="J17" s="35" t="n"/>
      <c r="K17" s="34" t="n"/>
    </row>
    <row r="18">
      <c r="I18" s="34" t="n"/>
      <c r="J18" s="35" t="n"/>
      <c r="K18" s="34" t="n"/>
    </row>
    <row r="19">
      <c r="I19" s="34" t="n"/>
      <c r="J19" s="36" t="n"/>
      <c r="K19" s="34" t="n"/>
    </row>
    <row r="20">
      <c r="I20" s="34" t="n"/>
      <c r="J20" s="35" t="n"/>
      <c r="K20" s="34" t="n"/>
    </row>
    <row r="21">
      <c r="I21" s="34" t="n"/>
      <c r="J21" s="35" t="n"/>
      <c r="K21" s="34" t="n"/>
    </row>
    <row r="22">
      <c r="I22" s="34" t="n"/>
      <c r="J22" s="36" t="n"/>
      <c r="K22" s="34" t="n"/>
    </row>
    <row r="23">
      <c r="I23" s="34" t="n"/>
      <c r="J23" s="35" t="n"/>
      <c r="K23" s="34" t="n"/>
    </row>
    <row r="24">
      <c r="I24" s="34" t="n"/>
      <c r="J24" s="36" t="n"/>
      <c r="K24" s="34" t="n"/>
    </row>
  </sheetData>
  <mergeCells count="10">
    <mergeCell ref="L3:L4"/>
    <mergeCell ref="B3:B4"/>
    <mergeCell ref="A3:A4"/>
    <mergeCell ref="P3:P4"/>
    <mergeCell ref="M3:O3"/>
    <mergeCell ref="Q3:Q4"/>
    <mergeCell ref="A2:Q2"/>
    <mergeCell ref="C3:E3"/>
    <mergeCell ref="I3:K3"/>
    <mergeCell ref="F3:H3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CUC_BIEU_8A_DIEM_NGHIEP</t>
        </is>
      </c>
    </row>
    <row r="2">
      <c r="A2" t="inlineStr">
        <is>
          <t>visible_sheet</t>
        </is>
      </c>
      <c r="B2" t="inlineStr">
        <is>
          <t>Bao cao Cuc</t>
        </is>
      </c>
    </row>
    <row r="4">
      <c r="A4" t="inlineStr">
        <is>
          <t>STT</t>
        </is>
      </c>
      <c r="B4" t="inlineStr">
        <is>
          <t>Trường hiển thị</t>
        </is>
      </c>
      <c r="C4" t="inlineStr">
        <is>
          <t>Ô/vùng</t>
        </is>
      </c>
      <c r="D4" t="inlineStr">
        <is>
          <t>Mã dữ liệu chuẩn</t>
        </is>
      </c>
      <c r="E4" t="inlineStr">
        <is>
          <t>Nguồn/Quy tắc</t>
        </is>
      </c>
    </row>
    <row r="5">
      <c r="A5" t="n">
        <v>1</v>
      </c>
      <c r="B5" t="inlineStr">
        <is>
          <t>Địa bàn</t>
        </is>
      </c>
      <c r="C5" t="inlineStr">
        <is>
          <t>B7:B14</t>
        </is>
      </c>
      <c r="D5" t="inlineStr">
        <is>
          <t>ten_dia_ban</t>
        </is>
      </c>
      <c r="E5" t="inlineStr">
        <is>
          <t>Map theo mã địa bàn; tên để hiển thị</t>
        </is>
      </c>
    </row>
    <row r="6">
      <c r="A6" t="n">
        <v>2</v>
      </c>
      <c r="B6" t="inlineStr">
        <is>
          <t>Diện tích - Cộng</t>
        </is>
      </c>
      <c r="C6" t="inlineStr">
        <is>
          <t>C7:C14</t>
        </is>
      </c>
      <c r="D6" t="inlineStr">
        <is>
          <t>AREA_TOTAL</t>
        </is>
      </c>
      <c r="E6" t="inlineStr">
        <is>
          <t>Snapshot tuần mới nhất &lt;= ngày chốt</t>
        </is>
      </c>
    </row>
    <row r="7">
      <c r="A7" t="n">
        <v>3</v>
      </c>
      <c r="B7" t="inlineStr">
        <is>
          <t>Diện tích - Muối thủ công</t>
        </is>
      </c>
      <c r="C7" t="inlineStr">
        <is>
          <t>D7:D14</t>
        </is>
      </c>
      <c r="D7" t="inlineStr">
        <is>
          <t>AREA_MANUAL</t>
        </is>
      </c>
      <c r="E7">
        <f> AREA_TOTAL</f>
        <v/>
      </c>
    </row>
    <row r="8">
      <c r="A8" t="n">
        <v>4</v>
      </c>
      <c r="B8" t="inlineStr">
        <is>
          <t>Diện tích - Muối công nghiệp</t>
        </is>
      </c>
      <c r="C8" t="inlineStr">
        <is>
          <t>E7:E14</t>
        </is>
      </c>
      <c r="D8" t="inlineStr">
        <is>
          <t>AREA_INDUSTRIAL</t>
        </is>
      </c>
      <c r="E8">
        <f> 0 theo nguồn tuần hiện tại</f>
        <v/>
      </c>
    </row>
    <row r="9">
      <c r="A9" t="n">
        <v>5</v>
      </c>
      <c r="B9" t="inlineStr">
        <is>
          <t>Sản lượng - Cộng</t>
        </is>
      </c>
      <c r="C9" t="inlineStr">
        <is>
          <t>F7:F14</t>
        </is>
      </c>
      <c r="D9" t="inlineStr">
        <is>
          <t>HARVEST_TOTAL</t>
        </is>
      </c>
      <c r="E9" t="inlineStr">
        <is>
          <t>Snapshot tuần mới nhất &lt;= ngày chốt</t>
        </is>
      </c>
    </row>
    <row r="10">
      <c r="A10" t="n">
        <v>6</v>
      </c>
      <c r="B10" t="inlineStr">
        <is>
          <t>Sản lượng - Muối thủ công</t>
        </is>
      </c>
      <c r="C10" t="inlineStr">
        <is>
          <t>G7:G14</t>
        </is>
      </c>
      <c r="D10" t="inlineStr">
        <is>
          <t>HARVEST_MANUAL</t>
        </is>
      </c>
      <c r="E10">
        <f> HARVEST_TOTAL</f>
        <v/>
      </c>
    </row>
    <row r="11">
      <c r="A11" t="n">
        <v>7</v>
      </c>
      <c r="B11" t="inlineStr">
        <is>
          <t>Sản lượng - Muối công nghiệp</t>
        </is>
      </c>
      <c r="C11" t="inlineStr">
        <is>
          <t>H7:H14</t>
        </is>
      </c>
      <c r="D11" t="inlineStr">
        <is>
          <t>HARVEST_INDUSTRIAL</t>
        </is>
      </c>
      <c r="E11">
        <f> 0</f>
        <v/>
      </c>
    </row>
    <row r="12">
      <c r="A12" t="n">
        <v>8</v>
      </c>
      <c r="B12" t="inlineStr">
        <is>
          <t>Tiêu thụ - Cộng</t>
        </is>
      </c>
      <c r="C12" t="inlineStr">
        <is>
          <t>I7:I14</t>
        </is>
      </c>
      <c r="D12" t="inlineStr">
        <is>
          <t>CONSUME_TOTAL</t>
        </is>
      </c>
      <c r="E12" t="inlineStr">
        <is>
          <t>Snapshot tuần mới nhất &lt;= ngày chốt</t>
        </is>
      </c>
    </row>
    <row r="13">
      <c r="A13" t="n">
        <v>9</v>
      </c>
      <c r="B13" t="inlineStr">
        <is>
          <t>Tiêu thụ - Muối thủ công</t>
        </is>
      </c>
      <c r="C13" t="inlineStr">
        <is>
          <t>J7:J14</t>
        </is>
      </c>
      <c r="D13" t="inlineStr">
        <is>
          <t>CONSUME_MANUAL</t>
        </is>
      </c>
      <c r="E13">
        <f> CONSUME_TOTAL</f>
        <v/>
      </c>
    </row>
    <row r="14">
      <c r="A14" t="n">
        <v>10</v>
      </c>
      <c r="B14" t="inlineStr">
        <is>
          <t>Tiêu thụ - Muối công nghiệp</t>
        </is>
      </c>
      <c r="C14" t="inlineStr">
        <is>
          <t>K7:K14</t>
        </is>
      </c>
      <c r="D14" t="inlineStr">
        <is>
          <t>CONSUME_INDUSTRIAL</t>
        </is>
      </c>
      <c r="E14">
        <f> 0</f>
        <v/>
      </c>
    </row>
    <row r="15">
      <c r="A15" t="n">
        <v>11</v>
      </c>
      <c r="B15" t="inlineStr">
        <is>
          <t>Tồn dư chuyển năm sau</t>
        </is>
      </c>
      <c r="C15" t="inlineStr">
        <is>
          <t>L7:L14</t>
        </is>
      </c>
      <c r="D15" t="inlineStr">
        <is>
          <t>STOCK_CARRY_FORWARD</t>
        </is>
      </c>
      <c r="E15">
        <f> REMAIN_TOTAL theo quy ước dự án</f>
        <v/>
      </c>
    </row>
    <row r="16">
      <c r="A16" t="n">
        <v>12</v>
      </c>
      <c r="B16" t="inlineStr">
        <is>
          <t>Chế biến - Cộng</t>
        </is>
      </c>
      <c r="C16" t="inlineStr">
        <is>
          <t>M7:M14</t>
        </is>
      </c>
      <c r="D16" t="inlineStr">
        <is>
          <t>PROCESS_TOTAL</t>
        </is>
      </c>
      <c r="E16" t="inlineStr">
        <is>
          <t>Trống/- trong tuần =&gt; 0</t>
        </is>
      </c>
    </row>
    <row r="17">
      <c r="A17" t="n">
        <v>13</v>
      </c>
      <c r="B17" t="inlineStr">
        <is>
          <t>Muối tinh</t>
        </is>
      </c>
      <c r="C17" t="inlineStr">
        <is>
          <t>N7:N14</t>
        </is>
      </c>
      <c r="D17" t="inlineStr">
        <is>
          <t>PROCESS_REFINED</t>
        </is>
      </c>
      <c r="E17" t="inlineStr">
        <is>
          <t>Trống/- trong tuần =&gt; 0</t>
        </is>
      </c>
    </row>
    <row r="18">
      <c r="A18" t="n">
        <v>14</v>
      </c>
      <c r="B18" t="inlineStr">
        <is>
          <t>Muối I-ốt</t>
        </is>
      </c>
      <c r="C18" t="inlineStr">
        <is>
          <t>O7:O14</t>
        </is>
      </c>
      <c r="D18" t="inlineStr">
        <is>
          <t>PROCESS_IODIZED</t>
        </is>
      </c>
      <c r="E18" t="inlineStr">
        <is>
          <t>Trống/- trong tuần =&gt; 0</t>
        </is>
      </c>
    </row>
    <row r="19">
      <c r="A19" t="n">
        <v>15</v>
      </c>
      <c r="B19" t="inlineStr">
        <is>
          <t>Số hộ làm muối</t>
        </is>
      </c>
      <c r="C19" t="inlineStr">
        <is>
          <t>P7:P14</t>
        </is>
      </c>
      <c r="D19" t="inlineStr">
        <is>
          <t>HOUSEHOLDS</t>
        </is>
      </c>
      <c r="E19" t="inlineStr">
        <is>
          <t>Lấy trực tiếp</t>
        </is>
      </c>
    </row>
    <row r="20">
      <c r="A20" t="n">
        <v>16</v>
      </c>
      <c r="B20" t="inlineStr">
        <is>
          <t>Số lao động làm muối</t>
        </is>
      </c>
      <c r="C20" t="inlineStr">
        <is>
          <t>Q7:Q14</t>
        </is>
      </c>
      <c r="D20" t="inlineStr">
        <is>
          <t>LABORERS</t>
        </is>
      </c>
      <c r="E20" t="inlineStr">
        <is>
          <t>Lấy trực tiếp</t>
        </is>
      </c>
    </row>
    <row r="21">
      <c r="A21" t="n">
        <v>17</v>
      </c>
      <c r="B21" t="inlineStr">
        <is>
          <t>Tổng CẢ TỈNH</t>
        </is>
      </c>
      <c r="C21" t="inlineStr">
        <is>
          <t>C6:Q6</t>
        </is>
      </c>
      <c r="D21" t="inlineStr">
        <is>
          <t>AGG_SUM</t>
        </is>
      </c>
      <c r="E21" t="inlineStr">
        <is>
          <t>SUM toàn bộ 8 địa bàn</t>
        </is>
      </c>
    </row>
    <row r="22">
      <c r="A22" t="n">
        <v>18</v>
      </c>
      <c r="B22" t="inlineStr">
        <is>
          <t>Giá muối bình quân</t>
        </is>
      </c>
      <c r="C22" t="inlineStr">
        <is>
          <t>A16</t>
        </is>
      </c>
      <c r="D22" t="inlineStr">
        <is>
          <t>PRICE_DISPLAY</t>
        </is>
      </c>
      <c r="E22" t="inlineStr">
        <is>
          <t>Hệ thống định dạng theo quy tắc giá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Trang Nguyen</dc:creator>
  <dcterms:created xmlns:dcterms="http://purl.org/dc/terms/" xmlns:xsi="http://www.w3.org/2001/XMLSchema-instance" xsi:type="dcterms:W3CDTF">2019-11-26T05:05:15Z</dcterms:created>
  <dcterms:modified xmlns:dcterms="http://purl.org/dc/terms/" xmlns:xsi="http://www.w3.org/2001/XMLSchema-instance" xsi:type="dcterms:W3CDTF">2026-09-18T04:34:38Z</dcterms:modified>
  <cp:lastModifiedBy>Nguyen Hong Minh</cp:lastModifiedBy>
  <cp:lastPrinted>2021-05-11T07:04:08Z</cp:lastPrinted>
</cp:coreProperties>
</file>